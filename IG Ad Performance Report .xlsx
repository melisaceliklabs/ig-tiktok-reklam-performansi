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 Raw Data" sheetId="1" r:id="rId5"/>
    <sheet state="visible" name="IG monthly" sheetId="2" r:id="rId6"/>
    <sheet state="visible" name="IG Performance Metrics" sheetId="3" r:id="rId7"/>
    <sheet state="visible" name="Summary" sheetId="4" r:id="rId8"/>
    <sheet state="visible" name="Graphs" sheetId="5" r:id="rId9"/>
    <sheet state="visible" name="Tiktok Monthly" sheetId="6" r:id="rId10"/>
    <sheet state="visible" name="Tiktok Raw Data" sheetId="7" r:id="rId11"/>
    <sheet state="visible" name="Tiktok Performance Metrics" sheetId="8" r:id="rId12"/>
  </sheets>
  <definedNames>
    <definedName localSheetId="7" name="CTR">'Tiktok Performance Metrics'!$A$1</definedName>
    <definedName name="CTR">'IG Performance Metrics'!$A$1</definedName>
  </definedNames>
  <calcPr/>
</workbook>
</file>

<file path=xl/sharedStrings.xml><?xml version="1.0" encoding="utf-8"?>
<sst xmlns="http://schemas.openxmlformats.org/spreadsheetml/2006/main" count="75" uniqueCount="41">
  <si>
    <t>Month</t>
  </si>
  <si>
    <t>Date</t>
  </si>
  <si>
    <t>Impressions</t>
  </si>
  <si>
    <t>Clicks</t>
  </si>
  <si>
    <t>Spend</t>
  </si>
  <si>
    <t>CTR</t>
  </si>
  <si>
    <t>Conversions</t>
  </si>
  <si>
    <t>Revenue</t>
  </si>
  <si>
    <t>CPC</t>
  </si>
  <si>
    <t>Avg Conv Value</t>
  </si>
  <si>
    <t>ROAS</t>
  </si>
  <si>
    <t>CPM</t>
  </si>
  <si>
    <t>Conv Rate</t>
  </si>
  <si>
    <t>IG ADS</t>
  </si>
  <si>
    <t>Tiktok Ads</t>
  </si>
  <si>
    <t>Bu yıl bu reklam kanalına toplam ne kadar harcadık?</t>
  </si>
  <si>
    <t>Toplam kaç tıklama elde ettik?</t>
  </si>
  <si>
    <t>Toplam kaç gösterim elde ettik?</t>
  </si>
  <si>
    <t>Ortalama Tıklama Başına Maliyet (CPC) nedir?</t>
  </si>
  <si>
    <t>Spending ($)</t>
  </si>
  <si>
    <t>Ortalama CPM nedir?</t>
  </si>
  <si>
    <t>Revenue ($)</t>
  </si>
  <si>
    <t>Bu yıl kaç conversion (dönüşüm) elde ettik?</t>
  </si>
  <si>
    <t>Ortalama conversion başına maliyet nedir?</t>
  </si>
  <si>
    <t>Bu yıl bu reklam kanalından elde edilen gelir ne kadar?</t>
  </si>
  <si>
    <t>Bu yılki ROAS nedir?</t>
  </si>
  <si>
    <t>Bütçemizin çoğunu hangi ayda harcadık?</t>
  </si>
  <si>
    <t>Aralık</t>
  </si>
  <si>
    <t>Nisan</t>
  </si>
  <si>
    <t>En çok conversion (dönüşüm) hangi ayda elde ettik?</t>
  </si>
  <si>
    <t>En çok geliri hangi ayda elde ettik?</t>
  </si>
  <si>
    <t>Temmuz</t>
  </si>
  <si>
    <t>En yüksek gelirli ay için CPC ne?</t>
  </si>
  <si>
    <t>En yüksek gelirli ay için CPM ne?</t>
  </si>
  <si>
    <t>O ay için ortalama conversion başına gelir ne?</t>
  </si>
  <si>
    <t>submit_date</t>
  </si>
  <si>
    <t>impressions</t>
  </si>
  <si>
    <t>clicks</t>
  </si>
  <si>
    <t>spending ($)</t>
  </si>
  <si>
    <t>conversions</t>
  </si>
  <si>
    <t>revenue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</si>
</sst>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&quot;$&quot;#,##0"/>
    <numFmt numFmtId="167" formatCode="m/d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5" xfId="0" applyAlignment="1" applyFill="1" applyFont="1" applyNumberFormat="1">
      <alignment readingOrder="0"/>
    </xf>
    <xf borderId="0" fillId="2" fontId="1" numFmtId="10" xfId="0" applyAlignment="1" applyFill="1" applyFont="1" applyNumberFormat="1">
      <alignment readingOrder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165" xfId="0" applyFont="1" applyNumberForma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0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165" xfId="0" applyFont="1" applyNumberFormat="1"/>
    <xf borderId="0" fillId="0" fontId="3" numFmtId="4" xfId="0" applyFont="1" applyNumberFormat="1"/>
    <xf borderId="0" fillId="0" fontId="3" numFmtId="164" xfId="0" applyAlignment="1" applyFont="1" applyNumberFormat="1">
      <alignment readingOrder="0" shrinkToFit="0" vertical="center" wrapText="0"/>
    </xf>
    <xf borderId="0" fillId="0" fontId="3" numFmtId="166" xfId="0" applyFont="1" applyNumberFormat="1"/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0" fontId="3" numFmtId="167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G 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Aya göre tıklama(clicks) ve izlenim(impressions)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'IG monthly'!$B$1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'IG monthly'!$A$2:$A$1000</c:f>
            </c:strRef>
          </c:cat>
          <c:val>
            <c:numRef>
              <c:f>'IG monthly'!$B$2:$B$1000</c:f>
              <c:numCache/>
            </c:numRef>
          </c:val>
        </c:ser>
        <c:ser>
          <c:idx val="1"/>
          <c:order val="1"/>
          <c:tx>
            <c:strRef>
              <c:f>'IG monthly'!$C$1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'IG monthly'!$A$2:$A$1000</c:f>
            </c:strRef>
          </c:cat>
          <c:val>
            <c:numRef>
              <c:f>'IG monthly'!$C$2:$C$1000</c:f>
              <c:numCache/>
            </c:numRef>
          </c:val>
        </c:ser>
        <c:axId val="1538948737"/>
        <c:axId val="521730327"/>
      </c:barChart>
      <c:catAx>
        <c:axId val="1538948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730327"/>
      </c:catAx>
      <c:valAx>
        <c:axId val="521730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948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'IG monthly'!$D$1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'IG monthly'!$D$2:$D$1000</c:f>
              <c:numCache/>
            </c:numRef>
          </c:val>
        </c:ser>
        <c:axId val="1785125172"/>
        <c:axId val="1517654673"/>
      </c:barChart>
      <c:lineChart>
        <c:varyColors val="0"/>
        <c:ser>
          <c:idx val="1"/>
          <c:order val="1"/>
          <c:tx>
            <c:strRef>
              <c:f>'IG monthly'!$H$1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'IG monthly'!$H$2:$H$1000</c:f>
              <c:numCache/>
            </c:numRef>
          </c:val>
          <c:smooth val="0"/>
        </c:ser>
        <c:axId val="1785125172"/>
        <c:axId val="1517654673"/>
      </c:lineChart>
      <c:catAx>
        <c:axId val="1785125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654673"/>
      </c:catAx>
      <c:valAx>
        <c:axId val="1517654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125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6" displayName="Table1" name="Table1" id="1">
  <tableColumns count="6">
    <tableColumn name="Date" id="1"/>
    <tableColumn name="Impressions" id="2"/>
    <tableColumn name="Clicks" id="3"/>
    <tableColumn name="Spending ($)" id="4"/>
    <tableColumn name="Conversions" id="5"/>
    <tableColumn name="Revenue ($)" id="6"/>
  </tableColumns>
  <tableStyleInfo name="IG 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13.25"/>
    <col customWidth="1" min="4" max="4" width="18.13"/>
    <col customWidth="1" min="5" max="5" width="18.0"/>
    <col customWidth="1" min="6" max="6" width="17.5"/>
  </cols>
  <sheetData>
    <row r="1" ht="22.5" customHeight="1">
      <c r="A1" s="18" t="s">
        <v>1</v>
      </c>
      <c r="B1" s="18" t="s">
        <v>2</v>
      </c>
      <c r="C1" s="18" t="s">
        <v>3</v>
      </c>
      <c r="D1" s="18" t="s">
        <v>19</v>
      </c>
      <c r="E1" s="18" t="s">
        <v>6</v>
      </c>
      <c r="F1" s="18" t="s">
        <v>21</v>
      </c>
    </row>
    <row r="2" ht="22.5" customHeight="1">
      <c r="A2" s="21">
        <v>45658.0</v>
      </c>
      <c r="B2" s="23">
        <v>27382.0</v>
      </c>
      <c r="C2" s="23">
        <v>483.0</v>
      </c>
      <c r="D2" s="24">
        <v>646.0</v>
      </c>
      <c r="E2" s="25">
        <v>8.0</v>
      </c>
      <c r="F2" s="26">
        <v>1375.0</v>
      </c>
    </row>
    <row r="3" ht="22.5" customHeight="1">
      <c r="A3" s="21">
        <v>45659.0</v>
      </c>
      <c r="B3" s="23">
        <v>99168.0</v>
      </c>
      <c r="C3" s="23">
        <v>1561.0</v>
      </c>
      <c r="D3" s="24">
        <v>2255.0</v>
      </c>
      <c r="E3" s="25">
        <v>35.0</v>
      </c>
      <c r="F3" s="26">
        <v>5159.0</v>
      </c>
    </row>
    <row r="4" ht="22.5" customHeight="1">
      <c r="A4" s="21">
        <v>45660.0</v>
      </c>
      <c r="B4" s="23">
        <v>14891.0</v>
      </c>
      <c r="C4" s="23">
        <v>273.0</v>
      </c>
      <c r="D4" s="24">
        <v>311.0</v>
      </c>
      <c r="E4" s="25">
        <v>6.0</v>
      </c>
      <c r="F4" s="26">
        <v>717.0</v>
      </c>
    </row>
    <row r="5" ht="22.5" customHeight="1">
      <c r="A5" s="21">
        <v>45661.0</v>
      </c>
      <c r="B5" s="23">
        <v>42989.0</v>
      </c>
      <c r="C5" s="23">
        <v>682.0</v>
      </c>
      <c r="D5" s="24">
        <v>1192.0</v>
      </c>
      <c r="E5" s="25">
        <v>13.0</v>
      </c>
      <c r="F5" s="26">
        <v>2969.0</v>
      </c>
    </row>
    <row r="6" ht="22.5" customHeight="1">
      <c r="A6" s="21">
        <v>45662.0</v>
      </c>
      <c r="B6" s="23">
        <v>36381.0</v>
      </c>
      <c r="C6" s="23">
        <v>559.0</v>
      </c>
      <c r="D6" s="24">
        <v>784.0</v>
      </c>
      <c r="E6" s="25">
        <v>13.0</v>
      </c>
      <c r="F6" s="26">
        <v>2556.0</v>
      </c>
    </row>
    <row r="7" ht="22.5" customHeight="1">
      <c r="A7" s="21">
        <v>45663.0</v>
      </c>
      <c r="B7" s="23">
        <v>56836.0</v>
      </c>
      <c r="C7" s="23">
        <v>1129.0</v>
      </c>
      <c r="D7" s="24">
        <v>2015.0</v>
      </c>
      <c r="E7" s="25">
        <v>16.0</v>
      </c>
      <c r="F7" s="26">
        <v>2697.0</v>
      </c>
    </row>
    <row r="8" ht="22.5" customHeight="1">
      <c r="A8" s="21">
        <v>45664.0</v>
      </c>
      <c r="B8" s="23">
        <v>45926.0</v>
      </c>
      <c r="C8" s="23">
        <v>1145.0</v>
      </c>
      <c r="D8" s="24">
        <v>1218.0</v>
      </c>
      <c r="E8" s="25">
        <v>28.0</v>
      </c>
      <c r="F8" s="26">
        <v>5549.0</v>
      </c>
    </row>
    <row r="9" ht="22.5" customHeight="1">
      <c r="A9" s="21">
        <v>45665.0</v>
      </c>
      <c r="B9" s="23">
        <v>43071.0</v>
      </c>
      <c r="C9" s="23">
        <v>356.0</v>
      </c>
      <c r="D9" s="24">
        <v>602.0</v>
      </c>
      <c r="E9" s="25">
        <v>9.0</v>
      </c>
      <c r="F9" s="26">
        <v>1395.0</v>
      </c>
    </row>
    <row r="10" ht="22.5" customHeight="1">
      <c r="A10" s="21">
        <v>45666.0</v>
      </c>
      <c r="B10" s="23">
        <v>82343.0</v>
      </c>
      <c r="C10" s="23">
        <v>1867.0</v>
      </c>
      <c r="D10" s="24">
        <v>2349.0</v>
      </c>
      <c r="E10" s="25">
        <v>30.0</v>
      </c>
      <c r="F10" s="26">
        <v>5835.0</v>
      </c>
    </row>
    <row r="11" ht="22.5" customHeight="1">
      <c r="A11" s="21">
        <v>45667.0</v>
      </c>
      <c r="B11" s="23">
        <v>76027.0</v>
      </c>
      <c r="C11" s="23">
        <v>1249.0</v>
      </c>
      <c r="D11" s="24">
        <v>2416.0</v>
      </c>
      <c r="E11" s="25">
        <v>16.0</v>
      </c>
      <c r="F11" s="26">
        <v>3085.0</v>
      </c>
    </row>
    <row r="12" ht="22.5" customHeight="1">
      <c r="A12" s="21">
        <v>45668.0</v>
      </c>
      <c r="B12" s="23">
        <v>80956.0</v>
      </c>
      <c r="C12" s="23">
        <v>733.0</v>
      </c>
      <c r="D12" s="24">
        <v>1279.0</v>
      </c>
      <c r="E12" s="25">
        <v>18.0</v>
      </c>
      <c r="F12" s="26">
        <v>2912.0</v>
      </c>
    </row>
    <row r="13" ht="22.5" customHeight="1">
      <c r="A13" s="21">
        <v>45669.0</v>
      </c>
      <c r="B13" s="23">
        <v>68072.0</v>
      </c>
      <c r="C13" s="23">
        <v>1332.0</v>
      </c>
      <c r="D13" s="24">
        <v>2367.0</v>
      </c>
      <c r="E13" s="25">
        <v>15.0</v>
      </c>
      <c r="F13" s="26">
        <v>3234.0</v>
      </c>
    </row>
    <row r="14" ht="22.5" customHeight="1">
      <c r="A14" s="21">
        <v>45670.0</v>
      </c>
      <c r="B14" s="23">
        <v>97608.0</v>
      </c>
      <c r="C14" s="23">
        <v>1947.0</v>
      </c>
      <c r="D14" s="24">
        <v>2122.0</v>
      </c>
      <c r="E14" s="25">
        <v>29.0</v>
      </c>
      <c r="F14" s="26">
        <v>3395.0</v>
      </c>
    </row>
    <row r="15" ht="22.5" customHeight="1">
      <c r="A15" s="21">
        <v>45671.0</v>
      </c>
      <c r="B15" s="23">
        <v>68669.0</v>
      </c>
      <c r="C15" s="23">
        <v>1236.0</v>
      </c>
      <c r="D15" s="24">
        <v>2483.0</v>
      </c>
      <c r="E15" s="25">
        <v>24.0</v>
      </c>
      <c r="F15" s="26">
        <v>3585.0</v>
      </c>
    </row>
    <row r="16" ht="22.5" customHeight="1">
      <c r="A16" s="21">
        <v>45672.0</v>
      </c>
      <c r="B16" s="23">
        <v>65250.0</v>
      </c>
      <c r="C16" s="23">
        <v>2003.0</v>
      </c>
      <c r="D16" s="24">
        <v>2482.0</v>
      </c>
      <c r="E16" s="25">
        <v>24.0</v>
      </c>
      <c r="F16" s="26">
        <v>2436.0</v>
      </c>
    </row>
    <row r="17" ht="22.5" customHeight="1">
      <c r="A17" s="21">
        <v>45673.0</v>
      </c>
      <c r="B17" s="23">
        <v>20589.0</v>
      </c>
      <c r="C17" s="23">
        <v>580.0</v>
      </c>
      <c r="D17" s="24">
        <v>1144.0</v>
      </c>
      <c r="E17" s="25">
        <v>10.0</v>
      </c>
      <c r="F17" s="26">
        <v>1518.0</v>
      </c>
    </row>
    <row r="18" ht="22.5" customHeight="1">
      <c r="A18" s="21">
        <v>45674.0</v>
      </c>
      <c r="B18" s="23">
        <v>92484.0</v>
      </c>
      <c r="C18" s="23">
        <v>2150.0</v>
      </c>
      <c r="D18" s="24">
        <v>3541.0</v>
      </c>
      <c r="E18" s="25">
        <v>56.0</v>
      </c>
      <c r="F18" s="26">
        <v>9247.0</v>
      </c>
    </row>
    <row r="19" ht="22.5" customHeight="1">
      <c r="A19" s="21">
        <v>45675.0</v>
      </c>
      <c r="B19" s="23">
        <v>56463.0</v>
      </c>
      <c r="C19" s="23">
        <v>1561.0</v>
      </c>
      <c r="D19" s="24">
        <v>1939.0</v>
      </c>
      <c r="E19" s="25">
        <v>22.0</v>
      </c>
      <c r="F19" s="26">
        <v>3328.0</v>
      </c>
    </row>
    <row r="20" ht="22.5" customHeight="1">
      <c r="A20" s="21">
        <v>45676.0</v>
      </c>
      <c r="B20" s="23">
        <v>70426.0</v>
      </c>
      <c r="C20" s="23">
        <v>776.0</v>
      </c>
      <c r="D20" s="24">
        <v>1388.0</v>
      </c>
      <c r="E20" s="25">
        <v>19.0</v>
      </c>
      <c r="F20" s="26">
        <v>2295.0</v>
      </c>
    </row>
    <row r="21" ht="22.5" customHeight="1">
      <c r="A21" s="21">
        <v>45677.0</v>
      </c>
      <c r="B21" s="23">
        <v>70773.0</v>
      </c>
      <c r="C21" s="23">
        <v>952.0</v>
      </c>
      <c r="D21" s="24">
        <v>1248.0</v>
      </c>
      <c r="E21" s="25">
        <v>17.0</v>
      </c>
      <c r="F21" s="26">
        <v>3417.0</v>
      </c>
    </row>
    <row r="22" ht="22.5" customHeight="1">
      <c r="A22" s="21">
        <v>45678.0</v>
      </c>
      <c r="B22" s="23">
        <v>62871.0</v>
      </c>
      <c r="C22" s="23">
        <v>1454.0</v>
      </c>
      <c r="D22" s="24">
        <v>2214.0</v>
      </c>
      <c r="E22" s="25">
        <v>27.0</v>
      </c>
      <c r="F22" s="26">
        <v>4439.0</v>
      </c>
    </row>
    <row r="23" ht="22.5" customHeight="1">
      <c r="A23" s="21">
        <v>45679.0</v>
      </c>
      <c r="B23" s="23">
        <v>37897.0</v>
      </c>
      <c r="C23" s="23">
        <v>482.0</v>
      </c>
      <c r="D23" s="24">
        <v>659.0</v>
      </c>
      <c r="E23" s="25">
        <v>10.0</v>
      </c>
      <c r="F23" s="26">
        <v>1156.0</v>
      </c>
    </row>
    <row r="24" ht="22.5" customHeight="1">
      <c r="A24" s="21">
        <v>45680.0</v>
      </c>
      <c r="B24" s="23">
        <v>12972.0</v>
      </c>
      <c r="C24" s="23">
        <v>156.0</v>
      </c>
      <c r="D24" s="24">
        <v>146.0</v>
      </c>
      <c r="E24" s="25">
        <v>3.0</v>
      </c>
      <c r="F24" s="26">
        <v>546.0</v>
      </c>
    </row>
    <row r="25" ht="22.5" customHeight="1">
      <c r="A25" s="21">
        <v>45681.0</v>
      </c>
      <c r="B25" s="23">
        <v>71010.0</v>
      </c>
      <c r="C25" s="23">
        <v>1165.0</v>
      </c>
      <c r="D25" s="24">
        <v>1830.0</v>
      </c>
      <c r="E25" s="25">
        <v>24.0</v>
      </c>
      <c r="F25" s="26">
        <v>5066.0</v>
      </c>
    </row>
    <row r="26" ht="22.5" customHeight="1">
      <c r="A26" s="21">
        <v>45682.0</v>
      </c>
      <c r="B26" s="23">
        <v>43205.0</v>
      </c>
      <c r="C26" s="23">
        <v>1321.0</v>
      </c>
      <c r="D26" s="24">
        <v>2170.0</v>
      </c>
      <c r="E26" s="25">
        <v>27.0</v>
      </c>
      <c r="F26" s="26">
        <v>4934.0</v>
      </c>
    </row>
    <row r="27" ht="22.5" customHeight="1">
      <c r="A27" s="21">
        <v>45683.0</v>
      </c>
      <c r="B27" s="23">
        <v>27299.0</v>
      </c>
      <c r="C27" s="23">
        <v>352.0</v>
      </c>
      <c r="D27" s="24">
        <v>556.0</v>
      </c>
      <c r="E27" s="25">
        <v>6.0</v>
      </c>
      <c r="F27" s="26">
        <v>1059.0</v>
      </c>
    </row>
    <row r="28" ht="22.5" customHeight="1">
      <c r="A28" s="21">
        <v>45684.0</v>
      </c>
      <c r="B28" s="23">
        <v>25667.0</v>
      </c>
      <c r="C28" s="23">
        <v>378.0</v>
      </c>
      <c r="D28" s="24">
        <v>729.0</v>
      </c>
      <c r="E28" s="25">
        <v>7.0</v>
      </c>
      <c r="F28" s="26">
        <v>1299.0</v>
      </c>
    </row>
    <row r="29" ht="22.5" customHeight="1">
      <c r="A29" s="21">
        <v>45685.0</v>
      </c>
      <c r="B29" s="23">
        <v>69148.0</v>
      </c>
      <c r="C29" s="23">
        <v>679.0</v>
      </c>
      <c r="D29" s="24">
        <v>1230.0</v>
      </c>
      <c r="E29" s="25">
        <v>17.0</v>
      </c>
      <c r="F29" s="26">
        <v>3373.0</v>
      </c>
    </row>
    <row r="30" ht="22.5" customHeight="1">
      <c r="A30" s="21">
        <v>45686.0</v>
      </c>
      <c r="B30" s="23">
        <v>28266.0</v>
      </c>
      <c r="C30" s="23">
        <v>781.0</v>
      </c>
      <c r="D30" s="24">
        <v>809.0</v>
      </c>
      <c r="E30" s="25">
        <v>12.0</v>
      </c>
      <c r="F30" s="26">
        <v>2450.0</v>
      </c>
    </row>
    <row r="31" ht="22.5" customHeight="1">
      <c r="A31" s="21">
        <v>45687.0</v>
      </c>
      <c r="B31" s="23">
        <v>47724.0</v>
      </c>
      <c r="C31" s="23">
        <v>1392.0</v>
      </c>
      <c r="D31" s="24">
        <v>2368.0</v>
      </c>
      <c r="E31" s="25">
        <v>26.0</v>
      </c>
      <c r="F31" s="26">
        <v>3396.0</v>
      </c>
    </row>
    <row r="32" ht="22.5" customHeight="1">
      <c r="A32" s="21">
        <v>45688.0</v>
      </c>
      <c r="B32" s="23">
        <v>77744.0</v>
      </c>
      <c r="C32" s="23">
        <v>1438.0</v>
      </c>
      <c r="D32" s="24">
        <v>2291.0</v>
      </c>
      <c r="E32" s="25">
        <v>32.0</v>
      </c>
      <c r="F32" s="26">
        <v>4586.0</v>
      </c>
    </row>
    <row r="33" ht="22.5" customHeight="1">
      <c r="A33" s="21">
        <v>45689.0</v>
      </c>
      <c r="B33" s="23">
        <v>99439.0</v>
      </c>
      <c r="C33" s="23">
        <v>2594.0</v>
      </c>
      <c r="D33" s="24">
        <v>2851.0</v>
      </c>
      <c r="E33" s="25">
        <v>55.0</v>
      </c>
      <c r="F33" s="26">
        <v>7336.0</v>
      </c>
    </row>
    <row r="34" ht="22.5" customHeight="1">
      <c r="A34" s="21">
        <v>45690.0</v>
      </c>
      <c r="B34" s="23">
        <v>29408.0</v>
      </c>
      <c r="C34" s="23">
        <v>413.0</v>
      </c>
      <c r="D34" s="24">
        <v>689.0</v>
      </c>
      <c r="E34" s="25">
        <v>8.0</v>
      </c>
      <c r="F34" s="26">
        <v>1410.0</v>
      </c>
    </row>
    <row r="35" ht="22.5" customHeight="1">
      <c r="A35" s="21">
        <v>45691.0</v>
      </c>
      <c r="B35" s="23">
        <v>27715.0</v>
      </c>
      <c r="C35" s="23">
        <v>667.0</v>
      </c>
      <c r="D35" s="24">
        <v>693.0</v>
      </c>
      <c r="E35" s="25">
        <v>14.0</v>
      </c>
      <c r="F35" s="26">
        <v>2306.0</v>
      </c>
    </row>
    <row r="36" ht="22.5" customHeight="1">
      <c r="A36" s="21">
        <v>45692.0</v>
      </c>
      <c r="B36" s="23">
        <v>15515.0</v>
      </c>
      <c r="C36" s="23">
        <v>403.0</v>
      </c>
      <c r="D36" s="24">
        <v>484.0</v>
      </c>
      <c r="E36" s="25">
        <v>7.0</v>
      </c>
      <c r="F36" s="26">
        <v>1049.0</v>
      </c>
    </row>
    <row r="37" ht="22.5" customHeight="1">
      <c r="A37" s="21">
        <v>45693.0</v>
      </c>
      <c r="B37" s="23">
        <v>70280.0</v>
      </c>
      <c r="C37" s="23">
        <v>2077.0</v>
      </c>
      <c r="D37" s="24">
        <v>3965.0</v>
      </c>
      <c r="E37" s="25">
        <v>34.0</v>
      </c>
      <c r="F37" s="26">
        <v>7054.0</v>
      </c>
    </row>
    <row r="38" ht="22.5" customHeight="1">
      <c r="A38" s="21">
        <v>45694.0</v>
      </c>
      <c r="B38" s="23">
        <v>81872.0</v>
      </c>
      <c r="C38" s="23">
        <v>931.0</v>
      </c>
      <c r="D38" s="24">
        <v>1516.0</v>
      </c>
      <c r="E38" s="25">
        <v>19.0</v>
      </c>
      <c r="F38" s="26">
        <v>2339.0</v>
      </c>
    </row>
    <row r="39" ht="22.5" customHeight="1">
      <c r="A39" s="21">
        <v>45695.0</v>
      </c>
      <c r="B39" s="23">
        <v>81286.0</v>
      </c>
      <c r="C39" s="23">
        <v>2201.0</v>
      </c>
      <c r="D39" s="24">
        <v>3493.0</v>
      </c>
      <c r="E39" s="25">
        <v>37.0</v>
      </c>
      <c r="F39" s="26">
        <v>6543.0</v>
      </c>
    </row>
    <row r="40" ht="22.5" customHeight="1">
      <c r="A40" s="21">
        <v>45696.0</v>
      </c>
      <c r="B40" s="23">
        <v>77915.0</v>
      </c>
      <c r="C40" s="23">
        <v>915.0</v>
      </c>
      <c r="D40" s="24">
        <v>924.0</v>
      </c>
      <c r="E40" s="25">
        <v>17.0</v>
      </c>
      <c r="F40" s="26">
        <v>3141.0</v>
      </c>
    </row>
    <row r="41" ht="22.5" customHeight="1">
      <c r="A41" s="21">
        <v>45697.0</v>
      </c>
      <c r="B41" s="23">
        <v>60396.0</v>
      </c>
      <c r="C41" s="23">
        <v>1697.0</v>
      </c>
      <c r="D41" s="24">
        <v>3283.0</v>
      </c>
      <c r="E41" s="25">
        <v>20.0</v>
      </c>
      <c r="F41" s="26">
        <v>2627.0</v>
      </c>
    </row>
    <row r="42" ht="22.5" customHeight="1">
      <c r="A42" s="21">
        <v>45698.0</v>
      </c>
      <c r="B42" s="23">
        <v>43446.0</v>
      </c>
      <c r="C42" s="23">
        <v>1145.0</v>
      </c>
      <c r="D42" s="24">
        <v>1306.0</v>
      </c>
      <c r="E42" s="25">
        <v>30.0</v>
      </c>
      <c r="F42" s="26">
        <v>5977.0</v>
      </c>
    </row>
    <row r="43" ht="22.5" customHeight="1">
      <c r="A43" s="21">
        <v>45699.0</v>
      </c>
      <c r="B43" s="23">
        <v>70724.0</v>
      </c>
      <c r="C43" s="23">
        <v>1905.0</v>
      </c>
      <c r="D43" s="24">
        <v>2225.0</v>
      </c>
      <c r="E43" s="25">
        <v>25.0</v>
      </c>
      <c r="F43" s="26">
        <v>5329.0</v>
      </c>
    </row>
    <row r="44" ht="22.5" customHeight="1">
      <c r="A44" s="21">
        <v>45700.0</v>
      </c>
      <c r="B44" s="23">
        <v>85306.0</v>
      </c>
      <c r="C44" s="23">
        <v>1671.0</v>
      </c>
      <c r="D44" s="24">
        <v>1644.0</v>
      </c>
      <c r="E44" s="25">
        <v>26.0</v>
      </c>
      <c r="F44" s="26">
        <v>4736.0</v>
      </c>
    </row>
    <row r="45" ht="22.5" customHeight="1">
      <c r="A45" s="21">
        <v>45701.0</v>
      </c>
      <c r="B45" s="23">
        <v>23751.0</v>
      </c>
      <c r="C45" s="23">
        <v>534.0</v>
      </c>
      <c r="D45" s="24">
        <v>744.0</v>
      </c>
      <c r="E45" s="25">
        <v>11.0</v>
      </c>
      <c r="F45" s="26">
        <v>1819.0</v>
      </c>
    </row>
    <row r="46" ht="22.5" customHeight="1">
      <c r="A46" s="21">
        <v>45702.0</v>
      </c>
      <c r="B46" s="23">
        <v>82792.0</v>
      </c>
      <c r="C46" s="23">
        <v>1948.0</v>
      </c>
      <c r="D46" s="24">
        <v>2546.0</v>
      </c>
      <c r="E46" s="25">
        <v>37.0</v>
      </c>
      <c r="F46" s="26">
        <v>6758.0</v>
      </c>
    </row>
    <row r="47" ht="22.5" customHeight="1">
      <c r="A47" s="21">
        <v>45703.0</v>
      </c>
      <c r="B47" s="23">
        <v>68924.0</v>
      </c>
      <c r="C47" s="23">
        <v>1909.0</v>
      </c>
      <c r="D47" s="24">
        <v>3369.0</v>
      </c>
      <c r="E47" s="25">
        <v>23.0</v>
      </c>
      <c r="F47" s="26">
        <v>4586.0</v>
      </c>
    </row>
    <row r="48" ht="22.5" customHeight="1">
      <c r="A48" s="21">
        <v>45704.0</v>
      </c>
      <c r="B48" s="23">
        <v>13626.0</v>
      </c>
      <c r="C48" s="23">
        <v>196.0</v>
      </c>
      <c r="D48" s="24">
        <v>372.0</v>
      </c>
      <c r="E48" s="25">
        <v>4.0</v>
      </c>
      <c r="F48" s="26">
        <v>776.0</v>
      </c>
    </row>
    <row r="49" ht="22.5" customHeight="1">
      <c r="A49" s="21">
        <v>45705.0</v>
      </c>
      <c r="B49" s="23">
        <v>10725.0</v>
      </c>
      <c r="C49" s="23">
        <v>175.0</v>
      </c>
      <c r="D49" s="24">
        <v>359.0</v>
      </c>
      <c r="E49" s="25">
        <v>3.0</v>
      </c>
      <c r="F49" s="26">
        <v>749.0</v>
      </c>
    </row>
    <row r="50" ht="22.5" customHeight="1">
      <c r="A50" s="21">
        <v>45706.0</v>
      </c>
      <c r="B50" s="23">
        <v>50562.0</v>
      </c>
      <c r="C50" s="23">
        <v>684.0</v>
      </c>
      <c r="D50" s="24">
        <v>1454.0</v>
      </c>
      <c r="E50" s="25">
        <v>9.0</v>
      </c>
      <c r="F50" s="26">
        <v>1719.0</v>
      </c>
    </row>
    <row r="51" ht="22.5" customHeight="1">
      <c r="A51" s="21">
        <v>45707.0</v>
      </c>
      <c r="B51" s="23">
        <v>27479.0</v>
      </c>
      <c r="C51" s="23">
        <v>637.0</v>
      </c>
      <c r="D51" s="24">
        <v>1247.0</v>
      </c>
      <c r="E51" s="25">
        <v>12.0</v>
      </c>
      <c r="F51" s="26">
        <v>1452.0</v>
      </c>
    </row>
    <row r="52" ht="22.5" customHeight="1">
      <c r="A52" s="21">
        <v>45708.0</v>
      </c>
      <c r="B52" s="23">
        <v>75592.0</v>
      </c>
      <c r="C52" s="23">
        <v>1183.0</v>
      </c>
      <c r="D52" s="24">
        <v>2209.0</v>
      </c>
      <c r="E52" s="25">
        <v>28.0</v>
      </c>
      <c r="F52" s="26">
        <v>4594.0</v>
      </c>
    </row>
    <row r="53" ht="22.5" customHeight="1">
      <c r="A53" s="21">
        <v>45709.0</v>
      </c>
      <c r="B53" s="23">
        <v>91898.0</v>
      </c>
      <c r="C53" s="23">
        <v>974.0</v>
      </c>
      <c r="D53" s="24">
        <v>1708.0</v>
      </c>
      <c r="E53" s="25">
        <v>13.0</v>
      </c>
      <c r="F53" s="26">
        <v>1541.0</v>
      </c>
    </row>
    <row r="54" ht="22.5" customHeight="1">
      <c r="A54" s="21">
        <v>45710.0</v>
      </c>
      <c r="B54" s="23">
        <v>61770.0</v>
      </c>
      <c r="C54" s="23">
        <v>829.0</v>
      </c>
      <c r="D54" s="24">
        <v>1646.0</v>
      </c>
      <c r="E54" s="25">
        <v>15.0</v>
      </c>
      <c r="F54" s="26">
        <v>2285.0</v>
      </c>
    </row>
    <row r="55" ht="22.5" customHeight="1">
      <c r="A55" s="21">
        <v>45711.0</v>
      </c>
      <c r="B55" s="23">
        <v>82545.0</v>
      </c>
      <c r="C55" s="23">
        <v>945.0</v>
      </c>
      <c r="D55" s="24">
        <v>1626.0</v>
      </c>
      <c r="E55" s="25">
        <v>22.0</v>
      </c>
      <c r="F55" s="26">
        <v>4510.0</v>
      </c>
    </row>
    <row r="56" ht="22.5" customHeight="1">
      <c r="A56" s="21">
        <v>45712.0</v>
      </c>
      <c r="B56" s="23">
        <v>16999.0</v>
      </c>
      <c r="C56" s="23">
        <v>452.0</v>
      </c>
      <c r="D56" s="24">
        <v>576.0</v>
      </c>
      <c r="E56" s="25">
        <v>6.0</v>
      </c>
      <c r="F56" s="26">
        <v>711.0</v>
      </c>
    </row>
    <row r="57" ht="22.5" customHeight="1">
      <c r="A57" s="21">
        <v>45713.0</v>
      </c>
      <c r="B57" s="23">
        <v>61190.0</v>
      </c>
      <c r="C57" s="23">
        <v>812.0</v>
      </c>
      <c r="D57" s="24">
        <v>1014.0</v>
      </c>
      <c r="E57" s="25">
        <v>15.0</v>
      </c>
      <c r="F57" s="26">
        <v>1836.0</v>
      </c>
    </row>
    <row r="58" ht="22.5" customHeight="1">
      <c r="A58" s="21">
        <v>45714.0</v>
      </c>
      <c r="B58" s="23">
        <v>89019.0</v>
      </c>
      <c r="C58" s="23">
        <v>2171.0</v>
      </c>
      <c r="D58" s="24">
        <v>3135.0</v>
      </c>
      <c r="E58" s="25">
        <v>37.0</v>
      </c>
      <c r="F58" s="26">
        <v>6005.0</v>
      </c>
    </row>
    <row r="59" ht="22.5" customHeight="1">
      <c r="A59" s="21">
        <v>45715.0</v>
      </c>
      <c r="B59" s="23">
        <v>42261.0</v>
      </c>
      <c r="C59" s="23">
        <v>1269.0</v>
      </c>
      <c r="D59" s="24">
        <v>2056.0</v>
      </c>
      <c r="E59" s="25">
        <v>17.0</v>
      </c>
      <c r="F59" s="26">
        <v>3235.0</v>
      </c>
    </row>
    <row r="60" ht="22.5" customHeight="1">
      <c r="A60" s="21">
        <v>45716.0</v>
      </c>
      <c r="B60" s="23">
        <v>14686.0</v>
      </c>
      <c r="C60" s="23">
        <v>165.0</v>
      </c>
      <c r="D60" s="24">
        <v>272.0</v>
      </c>
      <c r="E60" s="25">
        <v>2.0</v>
      </c>
      <c r="F60" s="26">
        <v>344.0</v>
      </c>
    </row>
    <row r="61" ht="22.5" customHeight="1">
      <c r="A61" s="21">
        <v>45717.0</v>
      </c>
      <c r="B61" s="23">
        <v>74275.0</v>
      </c>
      <c r="C61" s="23">
        <v>1230.0</v>
      </c>
      <c r="D61" s="24">
        <v>1588.0</v>
      </c>
      <c r="E61" s="25">
        <v>31.0</v>
      </c>
      <c r="F61" s="26">
        <v>4037.0</v>
      </c>
    </row>
    <row r="62" ht="22.5" customHeight="1">
      <c r="A62" s="21">
        <v>45718.0</v>
      </c>
      <c r="B62" s="23">
        <v>43481.0</v>
      </c>
      <c r="C62" s="23">
        <v>1411.0</v>
      </c>
      <c r="D62" s="24">
        <v>2150.0</v>
      </c>
      <c r="E62" s="25">
        <v>24.0</v>
      </c>
      <c r="F62" s="26">
        <v>3438.0</v>
      </c>
    </row>
    <row r="63" ht="22.5" customHeight="1">
      <c r="A63" s="21">
        <v>45719.0</v>
      </c>
      <c r="B63" s="23">
        <v>24107.0</v>
      </c>
      <c r="C63" s="23">
        <v>617.0</v>
      </c>
      <c r="D63" s="24">
        <v>665.0</v>
      </c>
      <c r="E63" s="25">
        <v>14.0</v>
      </c>
      <c r="F63" s="26">
        <v>2688.0</v>
      </c>
    </row>
    <row r="64" ht="22.5" customHeight="1">
      <c r="A64" s="21">
        <v>45720.0</v>
      </c>
      <c r="B64" s="23">
        <v>34969.0</v>
      </c>
      <c r="C64" s="23">
        <v>519.0</v>
      </c>
      <c r="D64" s="24">
        <v>861.0</v>
      </c>
      <c r="E64" s="25">
        <v>9.0</v>
      </c>
      <c r="F64" s="26">
        <v>2058.0</v>
      </c>
    </row>
    <row r="65" ht="22.5" customHeight="1">
      <c r="A65" s="21">
        <v>45721.0</v>
      </c>
      <c r="B65" s="23">
        <v>56378.0</v>
      </c>
      <c r="C65" s="23">
        <v>1345.0</v>
      </c>
      <c r="D65" s="24">
        <v>2366.0</v>
      </c>
      <c r="E65" s="25">
        <v>31.0</v>
      </c>
      <c r="F65" s="26">
        <v>3387.0</v>
      </c>
    </row>
    <row r="66" ht="22.5" customHeight="1">
      <c r="A66" s="21">
        <v>45722.0</v>
      </c>
      <c r="B66" s="23">
        <v>57170.0</v>
      </c>
      <c r="C66" s="23">
        <v>1375.0</v>
      </c>
      <c r="D66" s="24">
        <v>1708.0</v>
      </c>
      <c r="E66" s="25">
        <v>19.0</v>
      </c>
      <c r="F66" s="26">
        <v>4204.0</v>
      </c>
    </row>
    <row r="67" ht="22.5" customHeight="1">
      <c r="A67" s="21">
        <v>45723.0</v>
      </c>
      <c r="B67" s="23">
        <v>26837.0</v>
      </c>
      <c r="C67" s="23">
        <v>591.0</v>
      </c>
      <c r="D67" s="24">
        <v>591.0</v>
      </c>
      <c r="E67" s="25">
        <v>11.0</v>
      </c>
      <c r="F67" s="26">
        <v>1041.0</v>
      </c>
    </row>
    <row r="68" ht="22.5" customHeight="1">
      <c r="A68" s="21">
        <v>45724.0</v>
      </c>
      <c r="B68" s="23">
        <v>81804.0</v>
      </c>
      <c r="C68" s="23">
        <v>1809.0</v>
      </c>
      <c r="D68" s="24">
        <v>2066.0</v>
      </c>
      <c r="E68" s="25">
        <v>44.0</v>
      </c>
      <c r="F68" s="26">
        <v>5049.0</v>
      </c>
    </row>
    <row r="69" ht="22.5" customHeight="1">
      <c r="A69" s="21">
        <v>45725.0</v>
      </c>
      <c r="B69" s="23">
        <v>69650.0</v>
      </c>
      <c r="C69" s="23">
        <v>2180.0</v>
      </c>
      <c r="D69" s="24">
        <v>2532.0</v>
      </c>
      <c r="E69" s="25">
        <v>45.0</v>
      </c>
      <c r="F69" s="26">
        <v>7389.0</v>
      </c>
    </row>
    <row r="70" ht="22.5" customHeight="1">
      <c r="A70" s="21">
        <v>45726.0</v>
      </c>
      <c r="B70" s="23">
        <v>88162.0</v>
      </c>
      <c r="C70" s="23">
        <v>1931.0</v>
      </c>
      <c r="D70" s="24">
        <v>3073.0</v>
      </c>
      <c r="E70" s="25">
        <v>41.0</v>
      </c>
      <c r="F70" s="26">
        <v>7091.0</v>
      </c>
    </row>
    <row r="71" ht="22.5" customHeight="1">
      <c r="A71" s="21">
        <v>45727.0</v>
      </c>
      <c r="B71" s="23">
        <v>35355.0</v>
      </c>
      <c r="C71" s="23">
        <v>736.0</v>
      </c>
      <c r="D71" s="24">
        <v>958.0</v>
      </c>
      <c r="E71" s="25">
        <v>9.0</v>
      </c>
      <c r="F71" s="26">
        <v>1713.0</v>
      </c>
    </row>
    <row r="72" ht="22.5" customHeight="1">
      <c r="A72" s="21">
        <v>45728.0</v>
      </c>
      <c r="B72" s="23">
        <v>90027.0</v>
      </c>
      <c r="C72" s="23">
        <v>1414.0</v>
      </c>
      <c r="D72" s="24">
        <v>2069.0</v>
      </c>
      <c r="E72" s="25">
        <v>25.0</v>
      </c>
      <c r="F72" s="26">
        <v>5217.0</v>
      </c>
    </row>
    <row r="73" ht="22.5" customHeight="1">
      <c r="A73" s="21">
        <v>45729.0</v>
      </c>
      <c r="B73" s="23">
        <v>25328.0</v>
      </c>
      <c r="C73" s="23">
        <v>474.0</v>
      </c>
      <c r="D73" s="24">
        <v>712.0</v>
      </c>
      <c r="E73" s="25">
        <v>10.0</v>
      </c>
      <c r="F73" s="26">
        <v>1392.0</v>
      </c>
    </row>
    <row r="74" ht="22.5" customHeight="1">
      <c r="A74" s="21">
        <v>45730.0</v>
      </c>
      <c r="B74" s="23">
        <v>59348.0</v>
      </c>
      <c r="C74" s="23">
        <v>660.0</v>
      </c>
      <c r="D74" s="24">
        <v>1054.0</v>
      </c>
      <c r="E74" s="25">
        <v>7.0</v>
      </c>
      <c r="F74" s="26">
        <v>958.0</v>
      </c>
    </row>
    <row r="75" ht="22.5" customHeight="1">
      <c r="A75" s="21">
        <v>45731.0</v>
      </c>
      <c r="B75" s="23">
        <v>24427.0</v>
      </c>
      <c r="C75" s="23">
        <v>324.0</v>
      </c>
      <c r="D75" s="24">
        <v>350.0</v>
      </c>
      <c r="E75" s="25">
        <v>5.0</v>
      </c>
      <c r="F75" s="26">
        <v>951.0</v>
      </c>
    </row>
    <row r="76" ht="22.5" customHeight="1">
      <c r="A76" s="21">
        <v>45732.0</v>
      </c>
      <c r="B76" s="23">
        <v>23408.0</v>
      </c>
      <c r="C76" s="23">
        <v>502.0</v>
      </c>
      <c r="D76" s="24">
        <v>832.0</v>
      </c>
      <c r="E76" s="25">
        <v>9.0</v>
      </c>
      <c r="F76" s="26">
        <v>981.0</v>
      </c>
    </row>
    <row r="77" ht="22.5" customHeight="1">
      <c r="A77" s="21">
        <v>45733.0</v>
      </c>
      <c r="B77" s="23">
        <v>48565.0</v>
      </c>
      <c r="C77" s="23">
        <v>1530.0</v>
      </c>
      <c r="D77" s="24">
        <v>2676.0</v>
      </c>
      <c r="E77" s="25">
        <v>39.0</v>
      </c>
      <c r="F77" s="26">
        <v>6827.0</v>
      </c>
    </row>
    <row r="78" ht="22.5" customHeight="1">
      <c r="A78" s="21">
        <v>45734.0</v>
      </c>
      <c r="B78" s="23">
        <v>37692.0</v>
      </c>
      <c r="C78" s="23">
        <v>658.0</v>
      </c>
      <c r="D78" s="24">
        <v>946.0</v>
      </c>
      <c r="E78" s="25">
        <v>9.0</v>
      </c>
      <c r="F78" s="26">
        <v>969.0</v>
      </c>
    </row>
    <row r="79" ht="22.5" customHeight="1">
      <c r="A79" s="21">
        <v>45735.0</v>
      </c>
      <c r="B79" s="23">
        <v>29345.0</v>
      </c>
      <c r="C79" s="23">
        <v>596.0</v>
      </c>
      <c r="D79" s="24">
        <v>843.0</v>
      </c>
      <c r="E79" s="25">
        <v>12.0</v>
      </c>
      <c r="F79" s="26">
        <v>2349.0</v>
      </c>
    </row>
    <row r="80" ht="22.5" customHeight="1">
      <c r="A80" s="21">
        <v>45736.0</v>
      </c>
      <c r="B80" s="23">
        <v>86428.0</v>
      </c>
      <c r="C80" s="23">
        <v>883.0</v>
      </c>
      <c r="D80" s="24">
        <v>1499.0</v>
      </c>
      <c r="E80" s="25">
        <v>24.0</v>
      </c>
      <c r="F80" s="26">
        <v>3742.0</v>
      </c>
    </row>
    <row r="81" ht="22.5" customHeight="1">
      <c r="A81" s="21">
        <v>45737.0</v>
      </c>
      <c r="B81" s="23">
        <v>29192.0</v>
      </c>
      <c r="C81" s="23">
        <v>749.0</v>
      </c>
      <c r="D81" s="24">
        <v>1307.0</v>
      </c>
      <c r="E81" s="25">
        <v>15.0</v>
      </c>
      <c r="F81" s="26">
        <v>1624.0</v>
      </c>
    </row>
    <row r="82" ht="22.5" customHeight="1">
      <c r="A82" s="21">
        <v>45738.0</v>
      </c>
      <c r="B82" s="23">
        <v>35448.0</v>
      </c>
      <c r="C82" s="23">
        <v>970.0</v>
      </c>
      <c r="D82" s="24">
        <v>1099.0</v>
      </c>
      <c r="E82" s="25">
        <v>14.0</v>
      </c>
      <c r="F82" s="26">
        <v>2222.0</v>
      </c>
    </row>
    <row r="83" ht="22.5" customHeight="1">
      <c r="A83" s="21">
        <v>45739.0</v>
      </c>
      <c r="B83" s="23">
        <v>101862.0</v>
      </c>
      <c r="C83" s="23">
        <v>1741.0</v>
      </c>
      <c r="D83" s="24">
        <v>2155.0</v>
      </c>
      <c r="E83" s="25">
        <v>28.0</v>
      </c>
      <c r="F83" s="26">
        <v>3688.0</v>
      </c>
    </row>
    <row r="84" ht="22.5" customHeight="1">
      <c r="A84" s="21">
        <v>45740.0</v>
      </c>
      <c r="B84" s="23">
        <v>10360.0</v>
      </c>
      <c r="C84" s="23">
        <v>135.0</v>
      </c>
      <c r="D84" s="24">
        <v>183.0</v>
      </c>
      <c r="E84" s="25">
        <v>1.0</v>
      </c>
      <c r="F84" s="26">
        <v>204.0</v>
      </c>
    </row>
    <row r="85" ht="22.5" customHeight="1">
      <c r="A85" s="21">
        <v>45741.0</v>
      </c>
      <c r="B85" s="23">
        <v>74045.0</v>
      </c>
      <c r="C85" s="23">
        <v>1860.0</v>
      </c>
      <c r="D85" s="24">
        <v>3214.0</v>
      </c>
      <c r="E85" s="25">
        <v>34.0</v>
      </c>
      <c r="F85" s="26">
        <v>3855.0</v>
      </c>
    </row>
    <row r="86" ht="22.5" customHeight="1">
      <c r="A86" s="21">
        <v>45742.0</v>
      </c>
      <c r="B86" s="23">
        <v>24404.0</v>
      </c>
      <c r="C86" s="23">
        <v>565.0</v>
      </c>
      <c r="D86" s="24">
        <v>615.0</v>
      </c>
      <c r="E86" s="25">
        <v>13.0</v>
      </c>
      <c r="F86" s="26">
        <v>1517.0</v>
      </c>
    </row>
    <row r="87" ht="22.5" customHeight="1">
      <c r="A87" s="21">
        <v>45743.0</v>
      </c>
      <c r="B87" s="23">
        <v>77058.0</v>
      </c>
      <c r="C87" s="23">
        <v>1055.0</v>
      </c>
      <c r="D87" s="24">
        <v>1271.0</v>
      </c>
      <c r="E87" s="25">
        <v>22.0</v>
      </c>
      <c r="F87" s="26">
        <v>2602.0</v>
      </c>
    </row>
    <row r="88" ht="22.5" customHeight="1">
      <c r="A88" s="21">
        <v>45744.0</v>
      </c>
      <c r="B88" s="23">
        <v>14522.0</v>
      </c>
      <c r="C88" s="23">
        <v>289.0</v>
      </c>
      <c r="D88" s="24">
        <v>398.0</v>
      </c>
      <c r="E88" s="25">
        <v>5.0</v>
      </c>
      <c r="F88" s="26">
        <v>1031.0</v>
      </c>
    </row>
    <row r="89" ht="22.5" customHeight="1">
      <c r="A89" s="21">
        <v>45745.0</v>
      </c>
      <c r="B89" s="23">
        <v>76056.0</v>
      </c>
      <c r="C89" s="23">
        <v>2246.0</v>
      </c>
      <c r="D89" s="24">
        <v>3592.0</v>
      </c>
      <c r="E89" s="25">
        <v>34.0</v>
      </c>
      <c r="F89" s="26">
        <v>6041.0</v>
      </c>
    </row>
    <row r="90" ht="22.5" customHeight="1">
      <c r="A90" s="21">
        <v>45746.0</v>
      </c>
      <c r="B90" s="23">
        <v>62405.0</v>
      </c>
      <c r="C90" s="23">
        <v>825.0</v>
      </c>
      <c r="D90" s="24">
        <v>933.0</v>
      </c>
      <c r="E90" s="25">
        <v>13.0</v>
      </c>
      <c r="F90" s="26">
        <v>1223.0</v>
      </c>
    </row>
    <row r="91" ht="22.5" customHeight="1">
      <c r="A91" s="21">
        <v>45747.0</v>
      </c>
      <c r="B91" s="23">
        <v>48371.0</v>
      </c>
      <c r="C91" s="23">
        <v>717.0</v>
      </c>
      <c r="D91" s="24">
        <v>914.0</v>
      </c>
      <c r="E91" s="25">
        <v>13.0</v>
      </c>
      <c r="F91" s="26">
        <v>1764.0</v>
      </c>
    </row>
    <row r="92" ht="22.5" customHeight="1">
      <c r="A92" s="21">
        <v>45748.0</v>
      </c>
      <c r="B92" s="23">
        <v>66192.0</v>
      </c>
      <c r="C92" s="23">
        <v>1091.0</v>
      </c>
      <c r="D92" s="24">
        <v>1864.0</v>
      </c>
      <c r="E92" s="25">
        <v>23.0</v>
      </c>
      <c r="F92" s="26">
        <v>2856.0</v>
      </c>
    </row>
    <row r="93" ht="22.5" customHeight="1">
      <c r="A93" s="21">
        <v>45749.0</v>
      </c>
      <c r="B93" s="23">
        <v>89399.0</v>
      </c>
      <c r="C93" s="23">
        <v>1766.0</v>
      </c>
      <c r="D93" s="24">
        <v>3060.0</v>
      </c>
      <c r="E93" s="25">
        <v>42.0</v>
      </c>
      <c r="F93" s="26">
        <v>4626.0</v>
      </c>
    </row>
    <row r="94" ht="22.5" customHeight="1">
      <c r="A94" s="21">
        <v>45750.0</v>
      </c>
      <c r="B94" s="23">
        <v>25304.0</v>
      </c>
      <c r="C94" s="23">
        <v>310.0</v>
      </c>
      <c r="D94" s="24">
        <v>494.0</v>
      </c>
      <c r="E94" s="25">
        <v>7.0</v>
      </c>
      <c r="F94" s="26">
        <v>766.0</v>
      </c>
    </row>
    <row r="95" ht="22.5" customHeight="1">
      <c r="A95" s="21">
        <v>45751.0</v>
      </c>
      <c r="B95" s="23">
        <v>65507.0</v>
      </c>
      <c r="C95" s="23">
        <v>2071.0</v>
      </c>
      <c r="D95" s="24">
        <v>3219.0</v>
      </c>
      <c r="E95" s="25">
        <v>50.0</v>
      </c>
      <c r="F95" s="26">
        <v>6325.0</v>
      </c>
    </row>
    <row r="96" ht="22.5" customHeight="1">
      <c r="A96" s="21">
        <v>45752.0</v>
      </c>
      <c r="B96" s="23">
        <v>19085.0</v>
      </c>
      <c r="C96" s="23">
        <v>446.0</v>
      </c>
      <c r="D96" s="24">
        <v>767.0</v>
      </c>
      <c r="E96" s="25">
        <v>7.0</v>
      </c>
      <c r="F96" s="26">
        <v>697.0</v>
      </c>
    </row>
    <row r="97" ht="22.5" customHeight="1">
      <c r="A97" s="21">
        <v>45753.0</v>
      </c>
      <c r="B97" s="23">
        <v>93702.0</v>
      </c>
      <c r="C97" s="23">
        <v>1766.0</v>
      </c>
      <c r="D97" s="24">
        <v>3065.0</v>
      </c>
      <c r="E97" s="25">
        <v>34.0</v>
      </c>
      <c r="F97" s="26">
        <v>4520.0</v>
      </c>
    </row>
    <row r="98" ht="22.5" customHeight="1">
      <c r="A98" s="21">
        <v>45754.0</v>
      </c>
      <c r="B98" s="23">
        <v>77462.0</v>
      </c>
      <c r="C98" s="23">
        <v>2289.0</v>
      </c>
      <c r="D98" s="24">
        <v>3794.0</v>
      </c>
      <c r="E98" s="25">
        <v>39.0</v>
      </c>
      <c r="F98" s="26">
        <v>6079.0</v>
      </c>
    </row>
    <row r="99" ht="22.5" customHeight="1">
      <c r="A99" s="21">
        <v>45755.0</v>
      </c>
      <c r="B99" s="23">
        <v>88889.0</v>
      </c>
      <c r="C99" s="23">
        <v>2048.0</v>
      </c>
      <c r="D99" s="24">
        <v>3554.0</v>
      </c>
      <c r="E99" s="25">
        <v>28.0</v>
      </c>
      <c r="F99" s="26">
        <v>5852.0</v>
      </c>
    </row>
    <row r="100" ht="22.5" customHeight="1">
      <c r="A100" s="21">
        <v>45756.0</v>
      </c>
      <c r="B100" s="23">
        <v>52248.0</v>
      </c>
      <c r="C100" s="23">
        <v>600.0</v>
      </c>
      <c r="D100" s="24">
        <v>841.0</v>
      </c>
      <c r="E100" s="25">
        <v>11.0</v>
      </c>
      <c r="F100" s="26">
        <v>1309.0</v>
      </c>
    </row>
    <row r="101" ht="22.5" customHeight="1">
      <c r="A101" s="21">
        <v>45757.0</v>
      </c>
      <c r="B101" s="23">
        <v>50253.0</v>
      </c>
      <c r="C101" s="23">
        <v>842.0</v>
      </c>
      <c r="D101" s="24">
        <v>1067.0</v>
      </c>
      <c r="E101" s="25">
        <v>11.0</v>
      </c>
      <c r="F101" s="26">
        <v>1596.0</v>
      </c>
    </row>
    <row r="102" ht="22.5" customHeight="1">
      <c r="A102" s="21">
        <v>45758.0</v>
      </c>
      <c r="B102" s="23">
        <v>69120.0</v>
      </c>
      <c r="C102" s="23">
        <v>2081.0</v>
      </c>
      <c r="D102" s="24">
        <v>2502.0</v>
      </c>
      <c r="E102" s="25">
        <v>36.0</v>
      </c>
      <c r="F102" s="26">
        <v>7537.0</v>
      </c>
    </row>
    <row r="103" ht="22.5" customHeight="1">
      <c r="A103" s="21">
        <v>45759.0</v>
      </c>
      <c r="B103" s="23">
        <v>89518.0</v>
      </c>
      <c r="C103" s="23">
        <v>1740.0</v>
      </c>
      <c r="D103" s="24">
        <v>2248.0</v>
      </c>
      <c r="E103" s="25">
        <v>20.0</v>
      </c>
      <c r="F103" s="26">
        <v>2245.0</v>
      </c>
    </row>
    <row r="104" ht="22.5" customHeight="1">
      <c r="A104" s="21">
        <v>45760.0</v>
      </c>
      <c r="B104" s="23">
        <v>22275.0</v>
      </c>
      <c r="C104" s="23">
        <v>437.0</v>
      </c>
      <c r="D104" s="24">
        <v>742.0</v>
      </c>
      <c r="E104" s="25">
        <v>6.0</v>
      </c>
      <c r="F104" s="26">
        <v>950.0</v>
      </c>
    </row>
    <row r="105" ht="22.5" customHeight="1">
      <c r="A105" s="21">
        <v>45761.0</v>
      </c>
      <c r="B105" s="23">
        <v>81832.0</v>
      </c>
      <c r="C105" s="23">
        <v>1096.0</v>
      </c>
      <c r="D105" s="24">
        <v>1462.0</v>
      </c>
      <c r="E105" s="25">
        <v>21.0</v>
      </c>
      <c r="F105" s="26">
        <v>2994.0</v>
      </c>
    </row>
    <row r="106" ht="22.5" customHeight="1">
      <c r="A106" s="21">
        <v>45762.0</v>
      </c>
      <c r="B106" s="23">
        <v>93408.0</v>
      </c>
      <c r="C106" s="23">
        <v>1841.0</v>
      </c>
      <c r="D106" s="24">
        <v>3761.0</v>
      </c>
      <c r="E106" s="25">
        <v>38.0</v>
      </c>
      <c r="F106" s="26">
        <v>6588.0</v>
      </c>
    </row>
    <row r="107" ht="22.5" customHeight="1">
      <c r="A107" s="21">
        <v>45763.0</v>
      </c>
      <c r="B107" s="23">
        <v>23712.0</v>
      </c>
      <c r="C107" s="23">
        <v>342.0</v>
      </c>
      <c r="D107" s="24">
        <v>403.0</v>
      </c>
      <c r="E107" s="25">
        <v>8.0</v>
      </c>
      <c r="F107" s="26">
        <v>1188.0</v>
      </c>
    </row>
    <row r="108" ht="22.5" customHeight="1">
      <c r="A108" s="21">
        <v>45764.0</v>
      </c>
      <c r="B108" s="23">
        <v>82162.0</v>
      </c>
      <c r="C108" s="23">
        <v>1007.0</v>
      </c>
      <c r="D108" s="24">
        <v>1787.0</v>
      </c>
      <c r="E108" s="25">
        <v>20.0</v>
      </c>
      <c r="F108" s="26">
        <v>3433.0</v>
      </c>
    </row>
    <row r="109" ht="22.5" customHeight="1">
      <c r="A109" s="21">
        <v>45765.0</v>
      </c>
      <c r="B109" s="23">
        <v>100916.0</v>
      </c>
      <c r="C109" s="23">
        <v>1972.0</v>
      </c>
      <c r="D109" s="24">
        <v>2696.0</v>
      </c>
      <c r="E109" s="25">
        <v>47.0</v>
      </c>
      <c r="F109" s="26">
        <v>5840.0</v>
      </c>
    </row>
    <row r="110" ht="22.5" customHeight="1">
      <c r="A110" s="21">
        <v>45766.0</v>
      </c>
      <c r="B110" s="23">
        <v>20494.0</v>
      </c>
      <c r="C110" s="23">
        <v>411.0</v>
      </c>
      <c r="D110" s="24">
        <v>734.0</v>
      </c>
      <c r="E110" s="25">
        <v>4.0</v>
      </c>
      <c r="F110" s="26">
        <v>669.0</v>
      </c>
    </row>
    <row r="111" ht="22.5" customHeight="1">
      <c r="A111" s="21">
        <v>45767.0</v>
      </c>
      <c r="B111" s="23">
        <v>47284.0</v>
      </c>
      <c r="C111" s="23">
        <v>707.0</v>
      </c>
      <c r="D111" s="24">
        <v>1291.0</v>
      </c>
      <c r="E111" s="25">
        <v>16.0</v>
      </c>
      <c r="F111" s="26">
        <v>3600.0</v>
      </c>
    </row>
    <row r="112" ht="22.5" customHeight="1">
      <c r="A112" s="21">
        <v>45768.0</v>
      </c>
      <c r="B112" s="23">
        <v>78176.0</v>
      </c>
      <c r="C112" s="23">
        <v>2261.0</v>
      </c>
      <c r="D112" s="24">
        <v>3261.0</v>
      </c>
      <c r="E112" s="25">
        <v>56.0</v>
      </c>
      <c r="F112" s="26">
        <v>10954.0</v>
      </c>
    </row>
    <row r="113" ht="22.5" customHeight="1">
      <c r="A113" s="21">
        <v>45769.0</v>
      </c>
      <c r="B113" s="23">
        <v>89388.0</v>
      </c>
      <c r="C113" s="23">
        <v>1918.0</v>
      </c>
      <c r="D113" s="24">
        <v>3469.0</v>
      </c>
      <c r="E113" s="25">
        <v>28.0</v>
      </c>
      <c r="F113" s="26">
        <v>4371.0</v>
      </c>
    </row>
    <row r="114" ht="22.5" customHeight="1">
      <c r="A114" s="21">
        <v>45770.0</v>
      </c>
      <c r="B114" s="23">
        <v>77748.0</v>
      </c>
      <c r="C114" s="23">
        <v>2094.0</v>
      </c>
      <c r="D114" s="24">
        <v>2230.0</v>
      </c>
      <c r="E114" s="25">
        <v>36.0</v>
      </c>
      <c r="F114" s="26">
        <v>6501.0</v>
      </c>
    </row>
    <row r="115" ht="22.5" customHeight="1">
      <c r="A115" s="21">
        <v>45771.0</v>
      </c>
      <c r="B115" s="23">
        <v>94167.0</v>
      </c>
      <c r="C115" s="23">
        <v>1058.0</v>
      </c>
      <c r="D115" s="24">
        <v>1999.0</v>
      </c>
      <c r="E115" s="25">
        <v>24.0</v>
      </c>
      <c r="F115" s="26">
        <v>4267.0</v>
      </c>
    </row>
    <row r="116" ht="22.5" customHeight="1">
      <c r="A116" s="21">
        <v>45772.0</v>
      </c>
      <c r="B116" s="23">
        <v>47093.0</v>
      </c>
      <c r="C116" s="23">
        <v>1075.0</v>
      </c>
      <c r="D116" s="24">
        <v>2054.0</v>
      </c>
      <c r="E116" s="25">
        <v>24.0</v>
      </c>
      <c r="F116" s="26">
        <v>4539.0</v>
      </c>
    </row>
    <row r="117" ht="22.5" customHeight="1">
      <c r="A117" s="21">
        <v>45773.0</v>
      </c>
      <c r="B117" s="23">
        <v>74564.0</v>
      </c>
      <c r="C117" s="23">
        <v>963.0</v>
      </c>
      <c r="D117" s="24">
        <v>1738.0</v>
      </c>
      <c r="E117" s="25">
        <v>19.0</v>
      </c>
      <c r="F117" s="26">
        <v>3606.0</v>
      </c>
    </row>
    <row r="118" ht="22.5" customHeight="1">
      <c r="A118" s="21">
        <v>45774.0</v>
      </c>
      <c r="B118" s="23">
        <v>24692.0</v>
      </c>
      <c r="C118" s="23">
        <v>530.0</v>
      </c>
      <c r="D118" s="24">
        <v>1094.0</v>
      </c>
      <c r="E118" s="25">
        <v>9.0</v>
      </c>
      <c r="F118" s="26">
        <v>1232.0</v>
      </c>
    </row>
    <row r="119" ht="22.5" customHeight="1">
      <c r="A119" s="21">
        <v>45775.0</v>
      </c>
      <c r="B119" s="23">
        <v>62217.0</v>
      </c>
      <c r="C119" s="23">
        <v>758.0</v>
      </c>
      <c r="D119" s="24">
        <v>817.0</v>
      </c>
      <c r="E119" s="25">
        <v>14.0</v>
      </c>
      <c r="F119" s="26">
        <v>2120.0</v>
      </c>
    </row>
    <row r="120" ht="22.5" customHeight="1">
      <c r="A120" s="21">
        <v>45776.0</v>
      </c>
      <c r="B120" s="23">
        <v>43646.0</v>
      </c>
      <c r="C120" s="23">
        <v>865.0</v>
      </c>
      <c r="D120" s="24">
        <v>1049.0</v>
      </c>
      <c r="E120" s="25">
        <v>15.0</v>
      </c>
      <c r="F120" s="26">
        <v>1917.0</v>
      </c>
    </row>
    <row r="121" ht="22.5" customHeight="1">
      <c r="A121" s="21">
        <v>45777.0</v>
      </c>
      <c r="B121" s="23">
        <v>71389.0</v>
      </c>
      <c r="C121" s="23">
        <v>1246.0</v>
      </c>
      <c r="D121" s="24">
        <v>2223.0</v>
      </c>
      <c r="E121" s="25">
        <v>24.0</v>
      </c>
      <c r="F121" s="26">
        <v>3196.0</v>
      </c>
    </row>
    <row r="122" ht="22.5" customHeight="1">
      <c r="A122" s="21">
        <v>45778.0</v>
      </c>
      <c r="B122" s="23">
        <v>12921.0</v>
      </c>
      <c r="C122" s="23">
        <v>236.0</v>
      </c>
      <c r="D122" s="24">
        <v>304.0</v>
      </c>
      <c r="E122" s="25">
        <v>4.0</v>
      </c>
      <c r="F122" s="26">
        <v>536.0</v>
      </c>
    </row>
    <row r="123" ht="22.5" customHeight="1">
      <c r="A123" s="21">
        <v>45779.0</v>
      </c>
      <c r="B123" s="23">
        <v>103581.0</v>
      </c>
      <c r="C123" s="23">
        <v>1340.0</v>
      </c>
      <c r="D123" s="24">
        <v>1866.0</v>
      </c>
      <c r="E123" s="25">
        <v>26.0</v>
      </c>
      <c r="F123" s="26">
        <v>2804.0</v>
      </c>
    </row>
    <row r="124" ht="22.5" customHeight="1">
      <c r="A124" s="21">
        <v>45780.0</v>
      </c>
      <c r="B124" s="23">
        <v>54332.0</v>
      </c>
      <c r="C124" s="23">
        <v>1428.0</v>
      </c>
      <c r="D124" s="24">
        <v>2190.0</v>
      </c>
      <c r="E124" s="25">
        <v>25.0</v>
      </c>
      <c r="F124" s="26">
        <v>3204.0</v>
      </c>
    </row>
    <row r="125" ht="22.5" customHeight="1">
      <c r="A125" s="21">
        <v>45781.0</v>
      </c>
      <c r="B125" s="23">
        <v>55120.0</v>
      </c>
      <c r="C125" s="23">
        <v>1418.0</v>
      </c>
      <c r="D125" s="24">
        <v>2187.0</v>
      </c>
      <c r="E125" s="25">
        <v>31.0</v>
      </c>
      <c r="F125" s="26">
        <v>4734.0</v>
      </c>
    </row>
    <row r="126" ht="22.5" customHeight="1">
      <c r="A126" s="21">
        <v>45782.0</v>
      </c>
      <c r="B126" s="23">
        <v>96681.0</v>
      </c>
      <c r="C126" s="23">
        <v>1609.0</v>
      </c>
      <c r="D126" s="24">
        <v>3118.0</v>
      </c>
      <c r="E126" s="25">
        <v>41.0</v>
      </c>
      <c r="F126" s="26">
        <v>6627.0</v>
      </c>
    </row>
    <row r="127" ht="22.5" customHeight="1">
      <c r="A127" s="21">
        <v>45783.0</v>
      </c>
      <c r="B127" s="23">
        <v>49655.0</v>
      </c>
      <c r="C127" s="23">
        <v>1000.0</v>
      </c>
      <c r="D127" s="24">
        <v>967.0</v>
      </c>
      <c r="E127" s="25">
        <v>18.0</v>
      </c>
      <c r="F127" s="26">
        <v>2988.0</v>
      </c>
    </row>
    <row r="128" ht="22.5" customHeight="1">
      <c r="A128" s="21">
        <v>45784.0</v>
      </c>
      <c r="B128" s="23">
        <v>63861.0</v>
      </c>
      <c r="C128" s="23">
        <v>1700.0</v>
      </c>
      <c r="D128" s="24">
        <v>3788.0</v>
      </c>
      <c r="E128" s="25">
        <v>26.0</v>
      </c>
      <c r="F128" s="26">
        <v>2707.0</v>
      </c>
    </row>
    <row r="129" ht="22.5" customHeight="1">
      <c r="A129" s="21">
        <v>45785.0</v>
      </c>
      <c r="B129" s="23">
        <v>21459.0</v>
      </c>
      <c r="C129" s="23">
        <v>453.0</v>
      </c>
      <c r="D129" s="24">
        <v>595.0</v>
      </c>
      <c r="E129" s="25">
        <v>6.0</v>
      </c>
      <c r="F129" s="26">
        <v>947.0</v>
      </c>
    </row>
    <row r="130" ht="22.5" customHeight="1">
      <c r="A130" s="21">
        <v>45786.0</v>
      </c>
      <c r="B130" s="23">
        <v>84694.0</v>
      </c>
      <c r="C130" s="23">
        <v>2083.0</v>
      </c>
      <c r="D130" s="24">
        <v>2461.0</v>
      </c>
      <c r="E130" s="25">
        <v>47.0</v>
      </c>
      <c r="F130" s="26">
        <v>7073.0</v>
      </c>
    </row>
    <row r="131" ht="22.5" customHeight="1">
      <c r="A131" s="21">
        <v>45787.0</v>
      </c>
      <c r="B131" s="23">
        <v>67730.0</v>
      </c>
      <c r="C131" s="23">
        <v>2042.0</v>
      </c>
      <c r="D131" s="24">
        <v>3410.0</v>
      </c>
      <c r="E131" s="25">
        <v>41.0</v>
      </c>
      <c r="F131" s="26">
        <v>5943.0</v>
      </c>
    </row>
    <row r="132" ht="22.5" customHeight="1">
      <c r="A132" s="21">
        <v>45788.0</v>
      </c>
      <c r="B132" s="23">
        <v>11298.0</v>
      </c>
      <c r="C132" s="23">
        <v>221.0</v>
      </c>
      <c r="D132" s="24">
        <v>476.0</v>
      </c>
      <c r="E132" s="25">
        <v>4.0</v>
      </c>
      <c r="F132" s="26">
        <v>446.0</v>
      </c>
    </row>
    <row r="133" ht="22.5" customHeight="1">
      <c r="A133" s="21">
        <v>45789.0</v>
      </c>
      <c r="B133" s="23">
        <v>29109.0</v>
      </c>
      <c r="C133" s="23">
        <v>838.0</v>
      </c>
      <c r="D133" s="24">
        <v>1285.0</v>
      </c>
      <c r="E133" s="25">
        <v>12.0</v>
      </c>
      <c r="F133" s="26">
        <v>2401.0</v>
      </c>
    </row>
    <row r="134" ht="22.5" customHeight="1">
      <c r="A134" s="21">
        <v>45790.0</v>
      </c>
      <c r="B134" s="23">
        <v>44468.0</v>
      </c>
      <c r="C134" s="23">
        <v>833.0</v>
      </c>
      <c r="D134" s="24">
        <v>962.0</v>
      </c>
      <c r="E134" s="25">
        <v>13.0</v>
      </c>
      <c r="F134" s="26">
        <v>1802.0</v>
      </c>
    </row>
    <row r="135" ht="22.5" customHeight="1">
      <c r="A135" s="21">
        <v>45791.0</v>
      </c>
      <c r="B135" s="23">
        <v>90661.0</v>
      </c>
      <c r="C135" s="23">
        <v>1514.0</v>
      </c>
      <c r="D135" s="24">
        <v>3002.0</v>
      </c>
      <c r="E135" s="25">
        <v>18.0</v>
      </c>
      <c r="F135" s="26">
        <v>2201.0</v>
      </c>
    </row>
    <row r="136" ht="22.5" customHeight="1">
      <c r="A136" s="21">
        <v>45792.0</v>
      </c>
      <c r="B136" s="23">
        <v>16417.0</v>
      </c>
      <c r="C136" s="23">
        <v>375.0</v>
      </c>
      <c r="D136" s="24">
        <v>338.0</v>
      </c>
      <c r="E136" s="25">
        <v>7.0</v>
      </c>
      <c r="F136" s="26">
        <v>977.0</v>
      </c>
    </row>
    <row r="137" ht="22.5" customHeight="1">
      <c r="A137" s="21">
        <v>45793.0</v>
      </c>
      <c r="B137" s="23">
        <v>58031.0</v>
      </c>
      <c r="C137" s="23">
        <v>1173.0</v>
      </c>
      <c r="D137" s="24">
        <v>1358.0</v>
      </c>
      <c r="E137" s="25">
        <v>30.0</v>
      </c>
      <c r="F137" s="26">
        <v>5036.0</v>
      </c>
    </row>
    <row r="138" ht="22.5" customHeight="1">
      <c r="A138" s="21">
        <v>45794.0</v>
      </c>
      <c r="B138" s="23">
        <v>47140.0</v>
      </c>
      <c r="C138" s="23">
        <v>914.0</v>
      </c>
      <c r="D138" s="24">
        <v>1198.0</v>
      </c>
      <c r="E138" s="25">
        <v>15.0</v>
      </c>
      <c r="F138" s="26">
        <v>2108.0</v>
      </c>
    </row>
    <row r="139" ht="22.5" customHeight="1">
      <c r="A139" s="21">
        <v>45795.0</v>
      </c>
      <c r="B139" s="23">
        <v>90411.0</v>
      </c>
      <c r="C139" s="23">
        <v>1358.0</v>
      </c>
      <c r="D139" s="24">
        <v>2312.0</v>
      </c>
      <c r="E139" s="25">
        <v>35.0</v>
      </c>
      <c r="F139" s="26">
        <v>5335.0</v>
      </c>
    </row>
    <row r="140" ht="22.5" customHeight="1">
      <c r="A140" s="21">
        <v>45796.0</v>
      </c>
      <c r="B140" s="23">
        <v>66203.0</v>
      </c>
      <c r="C140" s="23">
        <v>1881.0</v>
      </c>
      <c r="D140" s="24">
        <v>2590.0</v>
      </c>
      <c r="E140" s="25">
        <v>43.0</v>
      </c>
      <c r="F140" s="26">
        <v>6943.0</v>
      </c>
    </row>
    <row r="141" ht="22.5" customHeight="1">
      <c r="A141" s="21">
        <v>45797.0</v>
      </c>
      <c r="B141" s="23">
        <v>76395.0</v>
      </c>
      <c r="C141" s="23">
        <v>837.0</v>
      </c>
      <c r="D141" s="24">
        <v>1011.0</v>
      </c>
      <c r="E141" s="25">
        <v>10.0</v>
      </c>
      <c r="F141" s="26">
        <v>1181.0</v>
      </c>
    </row>
    <row r="142" ht="22.5" customHeight="1">
      <c r="A142" s="21">
        <v>45798.0</v>
      </c>
      <c r="B142" s="23">
        <v>91812.0</v>
      </c>
      <c r="C142" s="23">
        <v>1149.0</v>
      </c>
      <c r="D142" s="24">
        <v>1684.0</v>
      </c>
      <c r="E142" s="25">
        <v>27.0</v>
      </c>
      <c r="F142" s="26">
        <v>4979.0</v>
      </c>
    </row>
    <row r="143" ht="22.5" customHeight="1">
      <c r="A143" s="21">
        <v>45799.0</v>
      </c>
      <c r="B143" s="23">
        <v>58771.0</v>
      </c>
      <c r="C143" s="23">
        <v>613.0</v>
      </c>
      <c r="D143" s="24">
        <v>1228.0</v>
      </c>
      <c r="E143" s="25">
        <v>15.0</v>
      </c>
      <c r="F143" s="26">
        <v>2103.0</v>
      </c>
    </row>
    <row r="144" ht="22.5" customHeight="1">
      <c r="A144" s="21">
        <v>45800.0</v>
      </c>
      <c r="B144" s="23">
        <v>75641.0</v>
      </c>
      <c r="C144" s="23">
        <v>1049.0</v>
      </c>
      <c r="D144" s="24">
        <v>1817.0</v>
      </c>
      <c r="E144" s="25">
        <v>18.0</v>
      </c>
      <c r="F144" s="26">
        <v>3100.0</v>
      </c>
    </row>
    <row r="145" ht="22.5" customHeight="1">
      <c r="A145" s="21">
        <v>45801.0</v>
      </c>
      <c r="B145" s="23">
        <v>92985.0</v>
      </c>
      <c r="C145" s="23">
        <v>1003.0</v>
      </c>
      <c r="D145" s="24">
        <v>1612.0</v>
      </c>
      <c r="E145" s="25">
        <v>17.0</v>
      </c>
      <c r="F145" s="26">
        <v>2647.0</v>
      </c>
    </row>
    <row r="146" ht="22.5" customHeight="1">
      <c r="A146" s="21">
        <v>45802.0</v>
      </c>
      <c r="B146" s="23">
        <v>66186.0</v>
      </c>
      <c r="C146" s="23">
        <v>1708.0</v>
      </c>
      <c r="D146" s="24">
        <v>3574.0</v>
      </c>
      <c r="E146" s="25">
        <v>24.0</v>
      </c>
      <c r="F146" s="26">
        <v>3426.0</v>
      </c>
    </row>
    <row r="147" ht="22.5" customHeight="1">
      <c r="A147" s="21">
        <v>45803.0</v>
      </c>
      <c r="B147" s="23">
        <v>78687.0</v>
      </c>
      <c r="C147" s="23">
        <v>2106.0</v>
      </c>
      <c r="D147" s="24">
        <v>3613.0</v>
      </c>
      <c r="E147" s="25">
        <v>43.0</v>
      </c>
      <c r="F147" s="26">
        <v>6825.0</v>
      </c>
    </row>
    <row r="148" ht="22.5" customHeight="1">
      <c r="A148" s="21">
        <v>45804.0</v>
      </c>
      <c r="B148" s="23">
        <v>30424.0</v>
      </c>
      <c r="C148" s="23">
        <v>705.0</v>
      </c>
      <c r="D148" s="24">
        <v>983.0</v>
      </c>
      <c r="E148" s="25">
        <v>10.0</v>
      </c>
      <c r="F148" s="26">
        <v>1825.0</v>
      </c>
    </row>
    <row r="149" ht="22.5" customHeight="1">
      <c r="A149" s="21">
        <v>45805.0</v>
      </c>
      <c r="B149" s="23">
        <v>70366.0</v>
      </c>
      <c r="C149" s="23">
        <v>2205.0</v>
      </c>
      <c r="D149" s="24">
        <v>3427.0</v>
      </c>
      <c r="E149" s="25">
        <v>45.0</v>
      </c>
      <c r="F149" s="26">
        <v>7945.0</v>
      </c>
    </row>
    <row r="150" ht="22.5" customHeight="1">
      <c r="A150" s="21">
        <v>45806.0</v>
      </c>
      <c r="B150" s="23">
        <v>62817.0</v>
      </c>
      <c r="C150" s="23">
        <v>1155.0</v>
      </c>
      <c r="D150" s="24">
        <v>1311.0</v>
      </c>
      <c r="E150" s="25">
        <v>28.0</v>
      </c>
      <c r="F150" s="26">
        <v>3567.0</v>
      </c>
    </row>
    <row r="151" ht="22.5" customHeight="1">
      <c r="A151" s="21">
        <v>45807.0</v>
      </c>
      <c r="B151" s="23">
        <v>38503.0</v>
      </c>
      <c r="C151" s="23">
        <v>1107.0</v>
      </c>
      <c r="D151" s="24">
        <v>2252.0</v>
      </c>
      <c r="E151" s="25">
        <v>19.0</v>
      </c>
      <c r="F151" s="26">
        <v>3816.0</v>
      </c>
    </row>
    <row r="152" ht="22.5" customHeight="1">
      <c r="A152" s="21">
        <v>45808.0</v>
      </c>
      <c r="B152" s="23">
        <v>22102.0</v>
      </c>
      <c r="C152" s="23">
        <v>335.0</v>
      </c>
      <c r="D152" s="24">
        <v>429.0</v>
      </c>
      <c r="E152" s="25">
        <v>4.0</v>
      </c>
      <c r="F152" s="26">
        <v>701.0</v>
      </c>
    </row>
    <row r="153" ht="22.5" customHeight="1">
      <c r="A153" s="21">
        <v>45809.0</v>
      </c>
      <c r="B153" s="23">
        <v>50120.0</v>
      </c>
      <c r="C153" s="23">
        <v>1288.0</v>
      </c>
      <c r="D153" s="24">
        <v>1271.0</v>
      </c>
      <c r="E153" s="25">
        <v>21.0</v>
      </c>
      <c r="F153" s="26">
        <v>2836.0</v>
      </c>
    </row>
    <row r="154" ht="22.5" customHeight="1">
      <c r="A154" s="21">
        <v>45810.0</v>
      </c>
      <c r="B154" s="23">
        <v>93058.0</v>
      </c>
      <c r="C154" s="23">
        <v>1684.0</v>
      </c>
      <c r="D154" s="24">
        <v>3313.0</v>
      </c>
      <c r="E154" s="25">
        <v>40.0</v>
      </c>
      <c r="F154" s="26">
        <v>4000.0</v>
      </c>
    </row>
    <row r="155" ht="22.5" customHeight="1">
      <c r="A155" s="21">
        <v>45811.0</v>
      </c>
      <c r="B155" s="23">
        <v>25134.0</v>
      </c>
      <c r="C155" s="23">
        <v>578.0</v>
      </c>
      <c r="D155" s="24">
        <v>1066.0</v>
      </c>
      <c r="E155" s="25">
        <v>13.0</v>
      </c>
      <c r="F155" s="26">
        <v>2492.0</v>
      </c>
    </row>
    <row r="156" ht="22.5" customHeight="1">
      <c r="A156" s="21">
        <v>45812.0</v>
      </c>
      <c r="B156" s="23">
        <v>54615.0</v>
      </c>
      <c r="C156" s="23">
        <v>1112.0</v>
      </c>
      <c r="D156" s="24">
        <v>1886.0</v>
      </c>
      <c r="E156" s="25">
        <v>30.0</v>
      </c>
      <c r="F156" s="26">
        <v>3273.0</v>
      </c>
    </row>
    <row r="157" ht="22.5" customHeight="1">
      <c r="A157" s="21">
        <v>45813.0</v>
      </c>
      <c r="B157" s="23">
        <v>62835.0</v>
      </c>
      <c r="C157" s="23">
        <v>1859.0</v>
      </c>
      <c r="D157" s="24">
        <v>2105.0</v>
      </c>
      <c r="E157" s="25">
        <v>39.0</v>
      </c>
      <c r="F157" s="26">
        <v>5184.0</v>
      </c>
    </row>
    <row r="158" ht="22.5" customHeight="1">
      <c r="A158" s="21">
        <v>45814.0</v>
      </c>
      <c r="B158" s="23">
        <v>76734.0</v>
      </c>
      <c r="C158" s="23">
        <v>1230.0</v>
      </c>
      <c r="D158" s="24">
        <v>2439.0</v>
      </c>
      <c r="E158" s="25">
        <v>27.0</v>
      </c>
      <c r="F158" s="26">
        <v>3115.0</v>
      </c>
    </row>
    <row r="159" ht="22.5" customHeight="1">
      <c r="A159" s="21">
        <v>45815.0</v>
      </c>
      <c r="B159" s="23">
        <v>71613.0</v>
      </c>
      <c r="C159" s="23">
        <v>1530.0</v>
      </c>
      <c r="D159" s="24">
        <v>2011.0</v>
      </c>
      <c r="E159" s="25">
        <v>34.0</v>
      </c>
      <c r="F159" s="26">
        <v>6967.0</v>
      </c>
    </row>
    <row r="160" ht="22.5" customHeight="1">
      <c r="A160" s="21">
        <v>45816.0</v>
      </c>
      <c r="B160" s="23">
        <v>91004.0</v>
      </c>
      <c r="C160" s="23">
        <v>2013.0</v>
      </c>
      <c r="D160" s="24">
        <v>2560.0</v>
      </c>
      <c r="E160" s="25">
        <v>32.0</v>
      </c>
      <c r="F160" s="26">
        <v>7188.0</v>
      </c>
    </row>
    <row r="161" ht="22.5" customHeight="1">
      <c r="A161" s="21">
        <v>45817.0</v>
      </c>
      <c r="B161" s="23">
        <v>43271.0</v>
      </c>
      <c r="C161" s="23">
        <v>604.0</v>
      </c>
      <c r="D161" s="24">
        <v>963.0</v>
      </c>
      <c r="E161" s="25">
        <v>8.0</v>
      </c>
      <c r="F161" s="26">
        <v>1079.0</v>
      </c>
    </row>
    <row r="162" ht="22.5" customHeight="1">
      <c r="A162" s="21">
        <v>45818.0</v>
      </c>
      <c r="B162" s="23">
        <v>82193.0</v>
      </c>
      <c r="C162" s="23">
        <v>2477.0</v>
      </c>
      <c r="D162" s="24">
        <v>2685.0</v>
      </c>
      <c r="E162" s="25">
        <v>31.0</v>
      </c>
      <c r="F162" s="26">
        <v>3895.0</v>
      </c>
    </row>
    <row r="163" ht="22.5" customHeight="1">
      <c r="A163" s="21">
        <v>45819.0</v>
      </c>
      <c r="B163" s="23">
        <v>94018.0</v>
      </c>
      <c r="C163" s="23">
        <v>1165.0</v>
      </c>
      <c r="D163" s="24">
        <v>1513.0</v>
      </c>
      <c r="E163" s="25">
        <v>14.0</v>
      </c>
      <c r="F163" s="26">
        <v>2727.0</v>
      </c>
    </row>
    <row r="164" ht="22.5" customHeight="1">
      <c r="A164" s="21">
        <v>45820.0</v>
      </c>
      <c r="B164" s="23">
        <v>18365.0</v>
      </c>
      <c r="C164" s="23">
        <v>400.0</v>
      </c>
      <c r="D164" s="24">
        <v>478.0</v>
      </c>
      <c r="E164" s="25">
        <v>8.0</v>
      </c>
      <c r="F164" s="26">
        <v>1616.0</v>
      </c>
    </row>
    <row r="165" ht="22.5" customHeight="1">
      <c r="A165" s="21">
        <v>45821.0</v>
      </c>
      <c r="B165" s="23">
        <v>40263.0</v>
      </c>
      <c r="C165" s="23">
        <v>1219.0</v>
      </c>
      <c r="D165" s="24">
        <v>2622.0</v>
      </c>
      <c r="E165" s="25">
        <v>30.0</v>
      </c>
      <c r="F165" s="26">
        <v>5056.0</v>
      </c>
    </row>
    <row r="166" ht="22.5" customHeight="1">
      <c r="A166" s="21">
        <v>45822.0</v>
      </c>
      <c r="B166" s="23">
        <v>63312.0</v>
      </c>
      <c r="C166" s="23">
        <v>1142.0</v>
      </c>
      <c r="D166" s="24">
        <v>1531.0</v>
      </c>
      <c r="E166" s="25">
        <v>22.0</v>
      </c>
      <c r="F166" s="26">
        <v>3795.0</v>
      </c>
    </row>
    <row r="167" ht="22.5" customHeight="1">
      <c r="A167" s="21">
        <v>45823.0</v>
      </c>
      <c r="B167" s="23">
        <v>77585.0</v>
      </c>
      <c r="C167" s="23">
        <v>2126.0</v>
      </c>
      <c r="D167" s="24">
        <v>2678.0</v>
      </c>
      <c r="E167" s="25">
        <v>54.0</v>
      </c>
      <c r="F167" s="26">
        <v>9400.0</v>
      </c>
    </row>
    <row r="168" ht="22.5" customHeight="1">
      <c r="A168" s="21">
        <v>45824.0</v>
      </c>
      <c r="B168" s="23">
        <v>87900.0</v>
      </c>
      <c r="C168" s="23">
        <v>2531.0</v>
      </c>
      <c r="D168" s="24">
        <v>4726.0</v>
      </c>
      <c r="E168" s="25">
        <v>46.0</v>
      </c>
      <c r="F168" s="26">
        <v>6813.0</v>
      </c>
    </row>
    <row r="169" ht="22.5" customHeight="1">
      <c r="A169" s="21">
        <v>45825.0</v>
      </c>
      <c r="B169" s="23">
        <v>30114.0</v>
      </c>
      <c r="C169" s="23">
        <v>461.0</v>
      </c>
      <c r="D169" s="24">
        <v>690.0</v>
      </c>
      <c r="E169" s="25">
        <v>7.0</v>
      </c>
      <c r="F169" s="26">
        <v>1105.0</v>
      </c>
    </row>
    <row r="170" ht="22.5" customHeight="1">
      <c r="A170" s="21">
        <v>45826.0</v>
      </c>
      <c r="B170" s="23">
        <v>30566.0</v>
      </c>
      <c r="C170" s="23">
        <v>337.0</v>
      </c>
      <c r="D170" s="24">
        <v>729.0</v>
      </c>
      <c r="E170" s="25">
        <v>6.0</v>
      </c>
      <c r="F170" s="26">
        <v>955.0</v>
      </c>
    </row>
    <row r="171" ht="22.5" customHeight="1">
      <c r="A171" s="21">
        <v>45827.0</v>
      </c>
      <c r="B171" s="23">
        <v>43028.0</v>
      </c>
      <c r="C171" s="23">
        <v>1145.0</v>
      </c>
      <c r="D171" s="24">
        <v>1308.0</v>
      </c>
      <c r="E171" s="25">
        <v>16.0</v>
      </c>
      <c r="F171" s="26">
        <v>2963.0</v>
      </c>
    </row>
    <row r="172" ht="22.5" customHeight="1">
      <c r="A172" s="21">
        <v>45828.0</v>
      </c>
      <c r="B172" s="23">
        <v>58773.0</v>
      </c>
      <c r="C172" s="23">
        <v>1283.0</v>
      </c>
      <c r="D172" s="24">
        <v>2329.0</v>
      </c>
      <c r="E172" s="25">
        <v>34.0</v>
      </c>
      <c r="F172" s="26">
        <v>6085.0</v>
      </c>
    </row>
    <row r="173" ht="22.5" customHeight="1">
      <c r="A173" s="21">
        <v>45829.0</v>
      </c>
      <c r="B173" s="23">
        <v>72129.0</v>
      </c>
      <c r="C173" s="23">
        <v>2156.0</v>
      </c>
      <c r="D173" s="24">
        <v>3282.0</v>
      </c>
      <c r="E173" s="25">
        <v>40.0</v>
      </c>
      <c r="F173" s="26">
        <v>6904.0</v>
      </c>
    </row>
    <row r="174" ht="22.5" customHeight="1">
      <c r="A174" s="21">
        <v>45830.0</v>
      </c>
      <c r="B174" s="23">
        <v>82176.0</v>
      </c>
      <c r="C174" s="23">
        <v>2279.0</v>
      </c>
      <c r="D174" s="24">
        <v>4080.0</v>
      </c>
      <c r="E174" s="25">
        <v>40.0</v>
      </c>
      <c r="F174" s="26">
        <v>6078.0</v>
      </c>
    </row>
    <row r="175" ht="22.5" customHeight="1">
      <c r="A175" s="21">
        <v>45831.0</v>
      </c>
      <c r="B175" s="23">
        <v>65342.0</v>
      </c>
      <c r="C175" s="23">
        <v>958.0</v>
      </c>
      <c r="D175" s="24">
        <v>1937.0</v>
      </c>
      <c r="E175" s="25">
        <v>21.0</v>
      </c>
      <c r="F175" s="26">
        <v>3520.0</v>
      </c>
    </row>
    <row r="176" ht="22.5" customHeight="1">
      <c r="A176" s="21">
        <v>45832.0</v>
      </c>
      <c r="B176" s="23">
        <v>65538.0</v>
      </c>
      <c r="C176" s="23">
        <v>828.0</v>
      </c>
      <c r="D176" s="24">
        <v>1458.0</v>
      </c>
      <c r="E176" s="25">
        <v>17.0</v>
      </c>
      <c r="F176" s="26">
        <v>2243.0</v>
      </c>
    </row>
    <row r="177" ht="22.5" customHeight="1">
      <c r="A177" s="21">
        <v>45833.0</v>
      </c>
      <c r="B177" s="23">
        <v>30692.0</v>
      </c>
      <c r="C177" s="23">
        <v>485.0</v>
      </c>
      <c r="D177" s="24">
        <v>620.0</v>
      </c>
      <c r="E177" s="25">
        <v>8.0</v>
      </c>
      <c r="F177" s="26">
        <v>1616.0</v>
      </c>
    </row>
    <row r="178" ht="22.5" customHeight="1">
      <c r="A178" s="21">
        <v>45834.0</v>
      </c>
      <c r="B178" s="23">
        <v>74313.0</v>
      </c>
      <c r="C178" s="23">
        <v>1239.0</v>
      </c>
      <c r="D178" s="24">
        <v>2077.0</v>
      </c>
      <c r="E178" s="25">
        <v>28.0</v>
      </c>
      <c r="F178" s="26">
        <v>4642.0</v>
      </c>
    </row>
    <row r="179" ht="22.5" customHeight="1">
      <c r="A179" s="21">
        <v>45835.0</v>
      </c>
      <c r="B179" s="23">
        <v>27726.0</v>
      </c>
      <c r="C179" s="23">
        <v>713.0</v>
      </c>
      <c r="D179" s="24">
        <v>1424.0</v>
      </c>
      <c r="E179" s="25">
        <v>15.0</v>
      </c>
      <c r="F179" s="26">
        <v>2217.0</v>
      </c>
    </row>
    <row r="180" ht="22.5" customHeight="1">
      <c r="A180" s="21">
        <v>45836.0</v>
      </c>
      <c r="B180" s="23">
        <v>23031.0</v>
      </c>
      <c r="C180" s="23">
        <v>477.0</v>
      </c>
      <c r="D180" s="24">
        <v>864.0</v>
      </c>
      <c r="E180" s="25">
        <v>9.0</v>
      </c>
      <c r="F180" s="26">
        <v>1549.0</v>
      </c>
    </row>
    <row r="181" ht="22.5" customHeight="1">
      <c r="A181" s="21">
        <v>45837.0</v>
      </c>
      <c r="B181" s="23">
        <v>27504.0</v>
      </c>
      <c r="C181" s="23">
        <v>419.0</v>
      </c>
      <c r="D181" s="24">
        <v>473.0</v>
      </c>
      <c r="E181" s="25">
        <v>9.0</v>
      </c>
      <c r="F181" s="26">
        <v>1479.0</v>
      </c>
    </row>
    <row r="182" ht="22.5" customHeight="1">
      <c r="A182" s="21">
        <v>45838.0</v>
      </c>
      <c r="B182" s="23">
        <v>41452.0</v>
      </c>
      <c r="C182" s="23">
        <v>843.0</v>
      </c>
      <c r="D182" s="24">
        <v>1636.0</v>
      </c>
      <c r="E182" s="25">
        <v>17.0</v>
      </c>
      <c r="F182" s="26">
        <v>2537.0</v>
      </c>
    </row>
    <row r="183" ht="22.5" customHeight="1">
      <c r="A183" s="21">
        <v>45839.0</v>
      </c>
      <c r="B183" s="23">
        <v>84189.0</v>
      </c>
      <c r="C183" s="23">
        <v>2352.0</v>
      </c>
      <c r="D183" s="24">
        <v>3264.0</v>
      </c>
      <c r="E183" s="25">
        <v>46.0</v>
      </c>
      <c r="F183" s="26">
        <v>8158.0</v>
      </c>
    </row>
    <row r="184" ht="22.5" customHeight="1">
      <c r="A184" s="21">
        <v>45840.0</v>
      </c>
      <c r="B184" s="23">
        <v>25428.0</v>
      </c>
      <c r="C184" s="23">
        <v>637.0</v>
      </c>
      <c r="D184" s="24">
        <v>659.0</v>
      </c>
      <c r="E184" s="25">
        <v>14.0</v>
      </c>
      <c r="F184" s="26">
        <v>2290.0</v>
      </c>
    </row>
    <row r="185" ht="22.5" customHeight="1">
      <c r="A185" s="21">
        <v>45841.0</v>
      </c>
      <c r="B185" s="23">
        <v>61279.0</v>
      </c>
      <c r="C185" s="23">
        <v>1182.0</v>
      </c>
      <c r="D185" s="24">
        <v>2199.0</v>
      </c>
      <c r="E185" s="25">
        <v>16.0</v>
      </c>
      <c r="F185" s="26">
        <v>2458.0</v>
      </c>
    </row>
    <row r="186" ht="22.5" customHeight="1">
      <c r="A186" s="21">
        <v>45842.0</v>
      </c>
      <c r="B186" s="23">
        <v>71106.0</v>
      </c>
      <c r="C186" s="23">
        <v>1243.0</v>
      </c>
      <c r="D186" s="24">
        <v>1376.0</v>
      </c>
      <c r="E186" s="25">
        <v>18.0</v>
      </c>
      <c r="F186" s="26">
        <v>3181.0</v>
      </c>
    </row>
    <row r="187" ht="22.5" customHeight="1">
      <c r="A187" s="21">
        <v>45843.0</v>
      </c>
      <c r="B187" s="23">
        <v>88949.0</v>
      </c>
      <c r="C187" s="23">
        <v>2286.0</v>
      </c>
      <c r="D187" s="24">
        <v>3586.0</v>
      </c>
      <c r="E187" s="25">
        <v>28.0</v>
      </c>
      <c r="F187" s="26">
        <v>4519.0</v>
      </c>
    </row>
    <row r="188" ht="22.5" customHeight="1">
      <c r="A188" s="21">
        <v>45844.0</v>
      </c>
      <c r="B188" s="23">
        <v>26132.0</v>
      </c>
      <c r="C188" s="23">
        <v>546.0</v>
      </c>
      <c r="D188" s="24">
        <v>757.0</v>
      </c>
      <c r="E188" s="25">
        <v>7.0</v>
      </c>
      <c r="F188" s="26">
        <v>893.0</v>
      </c>
    </row>
    <row r="189" ht="22.5" customHeight="1">
      <c r="A189" s="21">
        <v>45845.0</v>
      </c>
      <c r="B189" s="23">
        <v>43244.0</v>
      </c>
      <c r="C189" s="23">
        <v>1187.0</v>
      </c>
      <c r="D189" s="24">
        <v>1829.0</v>
      </c>
      <c r="E189" s="25">
        <v>26.0</v>
      </c>
      <c r="F189" s="26">
        <v>4117.0</v>
      </c>
    </row>
    <row r="190" ht="22.5" customHeight="1">
      <c r="A190" s="21">
        <v>45846.0</v>
      </c>
      <c r="B190" s="23">
        <v>75861.0</v>
      </c>
      <c r="C190" s="23">
        <v>1348.0</v>
      </c>
      <c r="D190" s="24">
        <v>2756.0</v>
      </c>
      <c r="E190" s="25">
        <v>31.0</v>
      </c>
      <c r="F190" s="26">
        <v>3086.0</v>
      </c>
    </row>
    <row r="191" ht="22.5" customHeight="1">
      <c r="A191" s="21">
        <v>45847.0</v>
      </c>
      <c r="B191" s="23">
        <v>53933.0</v>
      </c>
      <c r="C191" s="23">
        <v>904.0</v>
      </c>
      <c r="D191" s="24">
        <v>1547.0</v>
      </c>
      <c r="E191" s="25">
        <v>17.0</v>
      </c>
      <c r="F191" s="26">
        <v>1862.0</v>
      </c>
    </row>
    <row r="192" ht="22.5" customHeight="1">
      <c r="A192" s="21">
        <v>45848.0</v>
      </c>
      <c r="B192" s="23">
        <v>49348.0</v>
      </c>
      <c r="C192" s="23">
        <v>1331.0</v>
      </c>
      <c r="D192" s="24">
        <v>1852.0</v>
      </c>
      <c r="E192" s="25">
        <v>16.0</v>
      </c>
      <c r="F192" s="26">
        <v>2223.0</v>
      </c>
    </row>
    <row r="193" ht="22.5" customHeight="1">
      <c r="A193" s="21">
        <v>45849.0</v>
      </c>
      <c r="B193" s="23">
        <v>82290.0</v>
      </c>
      <c r="C193" s="23">
        <v>1116.0</v>
      </c>
      <c r="D193" s="24">
        <v>1543.0</v>
      </c>
      <c r="E193" s="25">
        <v>17.0</v>
      </c>
      <c r="F193" s="26">
        <v>2839.0</v>
      </c>
    </row>
    <row r="194" ht="22.5" customHeight="1">
      <c r="A194" s="21">
        <v>45850.0</v>
      </c>
      <c r="B194" s="23">
        <v>88328.0</v>
      </c>
      <c r="C194" s="23">
        <v>2752.0</v>
      </c>
      <c r="D194" s="24">
        <v>3364.0</v>
      </c>
      <c r="E194" s="25">
        <v>63.0</v>
      </c>
      <c r="F194" s="26">
        <v>10160.0</v>
      </c>
    </row>
    <row r="195" ht="22.5" customHeight="1">
      <c r="A195" s="21">
        <v>45851.0</v>
      </c>
      <c r="B195" s="23">
        <v>39140.0</v>
      </c>
      <c r="C195" s="23">
        <v>1182.0</v>
      </c>
      <c r="D195" s="24">
        <v>1803.0</v>
      </c>
      <c r="E195" s="25">
        <v>21.0</v>
      </c>
      <c r="F195" s="26">
        <v>4413.0</v>
      </c>
    </row>
    <row r="196" ht="22.5" customHeight="1">
      <c r="A196" s="21">
        <v>45852.0</v>
      </c>
      <c r="B196" s="23">
        <v>51534.0</v>
      </c>
      <c r="C196" s="23">
        <v>679.0</v>
      </c>
      <c r="D196" s="24">
        <v>1087.0</v>
      </c>
      <c r="E196" s="25">
        <v>14.0</v>
      </c>
      <c r="F196" s="26">
        <v>2800.0</v>
      </c>
    </row>
    <row r="197" ht="22.5" customHeight="1">
      <c r="A197" s="21">
        <v>45853.0</v>
      </c>
      <c r="B197" s="23">
        <v>66793.0</v>
      </c>
      <c r="C197" s="23">
        <v>1164.0</v>
      </c>
      <c r="D197" s="24">
        <v>2154.0</v>
      </c>
      <c r="E197" s="25">
        <v>23.0</v>
      </c>
      <c r="F197" s="26">
        <v>3556.0</v>
      </c>
    </row>
    <row r="198" ht="22.5" customHeight="1">
      <c r="A198" s="21">
        <v>45854.0</v>
      </c>
      <c r="B198" s="23">
        <v>78188.0</v>
      </c>
      <c r="C198" s="23">
        <v>2020.0</v>
      </c>
      <c r="D198" s="24">
        <v>3553.0</v>
      </c>
      <c r="E198" s="25">
        <v>53.0</v>
      </c>
      <c r="F198" s="26">
        <v>6337.0</v>
      </c>
    </row>
    <row r="199" ht="22.5" customHeight="1">
      <c r="A199" s="21">
        <v>45855.0</v>
      </c>
      <c r="B199" s="23">
        <v>45734.0</v>
      </c>
      <c r="C199" s="23">
        <v>1260.0</v>
      </c>
      <c r="D199" s="24">
        <v>1730.0</v>
      </c>
      <c r="E199" s="25">
        <v>21.0</v>
      </c>
      <c r="F199" s="26">
        <v>4064.0</v>
      </c>
    </row>
    <row r="200" ht="22.5" customHeight="1">
      <c r="A200" s="21">
        <v>45856.0</v>
      </c>
      <c r="B200" s="23">
        <v>73680.0</v>
      </c>
      <c r="C200" s="23">
        <v>1569.0</v>
      </c>
      <c r="D200" s="24">
        <v>3248.0</v>
      </c>
      <c r="E200" s="25">
        <v>22.0</v>
      </c>
      <c r="F200" s="26">
        <v>2626.0</v>
      </c>
    </row>
    <row r="201" ht="22.5" customHeight="1">
      <c r="A201" s="21">
        <v>45857.0</v>
      </c>
      <c r="B201" s="23">
        <v>30301.0</v>
      </c>
      <c r="C201" s="23">
        <v>434.0</v>
      </c>
      <c r="D201" s="24">
        <v>529.0</v>
      </c>
      <c r="E201" s="25">
        <v>11.0</v>
      </c>
      <c r="F201" s="26">
        <v>1442.0</v>
      </c>
    </row>
    <row r="202" ht="22.5" customHeight="1">
      <c r="A202" s="21">
        <v>45858.0</v>
      </c>
      <c r="B202" s="23">
        <v>30343.0</v>
      </c>
      <c r="C202" s="23">
        <v>994.0</v>
      </c>
      <c r="D202" s="24">
        <v>1430.0</v>
      </c>
      <c r="E202" s="25">
        <v>12.0</v>
      </c>
      <c r="F202" s="26">
        <v>2047.0</v>
      </c>
    </row>
    <row r="203" ht="22.5" customHeight="1">
      <c r="A203" s="21">
        <v>45859.0</v>
      </c>
      <c r="B203" s="23">
        <v>21615.0</v>
      </c>
      <c r="C203" s="23">
        <v>269.0</v>
      </c>
      <c r="D203" s="24">
        <v>353.0</v>
      </c>
      <c r="E203" s="25">
        <v>7.0</v>
      </c>
      <c r="F203" s="26">
        <v>909.0</v>
      </c>
    </row>
    <row r="204" ht="22.5" customHeight="1">
      <c r="A204" s="21">
        <v>45860.0</v>
      </c>
      <c r="B204" s="23">
        <v>21183.0</v>
      </c>
      <c r="C204" s="23">
        <v>374.0</v>
      </c>
      <c r="D204" s="24">
        <v>671.0</v>
      </c>
      <c r="E204" s="25">
        <v>5.0</v>
      </c>
      <c r="F204" s="26">
        <v>590.0</v>
      </c>
    </row>
    <row r="205" ht="22.5" customHeight="1">
      <c r="A205" s="21">
        <v>45861.0</v>
      </c>
      <c r="B205" s="23">
        <v>16435.0</v>
      </c>
      <c r="C205" s="23">
        <v>370.0</v>
      </c>
      <c r="D205" s="24">
        <v>676.0</v>
      </c>
      <c r="E205" s="25">
        <v>8.0</v>
      </c>
      <c r="F205" s="26">
        <v>1532.0</v>
      </c>
    </row>
    <row r="206" ht="22.5" customHeight="1">
      <c r="A206" s="21">
        <v>45862.0</v>
      </c>
      <c r="B206" s="23">
        <v>86669.0</v>
      </c>
      <c r="C206" s="23">
        <v>2094.0</v>
      </c>
      <c r="D206" s="24">
        <v>2228.0</v>
      </c>
      <c r="E206" s="25">
        <v>33.0</v>
      </c>
      <c r="F206" s="26">
        <v>3729.0</v>
      </c>
    </row>
    <row r="207" ht="22.5" customHeight="1">
      <c r="A207" s="21">
        <v>45863.0</v>
      </c>
      <c r="B207" s="23">
        <v>41574.0</v>
      </c>
      <c r="C207" s="23">
        <v>432.0</v>
      </c>
      <c r="D207" s="24">
        <v>524.0</v>
      </c>
      <c r="E207" s="25">
        <v>9.0</v>
      </c>
      <c r="F207" s="26">
        <v>1531.0</v>
      </c>
    </row>
    <row r="208" ht="22.5" customHeight="1">
      <c r="A208" s="21">
        <v>45864.0</v>
      </c>
      <c r="B208" s="23">
        <v>18458.0</v>
      </c>
      <c r="C208" s="23">
        <v>346.0</v>
      </c>
      <c r="D208" s="24">
        <v>497.0</v>
      </c>
      <c r="E208" s="25">
        <v>8.0</v>
      </c>
      <c r="F208" s="26">
        <v>1164.0</v>
      </c>
    </row>
    <row r="209" ht="22.5" customHeight="1">
      <c r="A209" s="21">
        <v>45865.0</v>
      </c>
      <c r="B209" s="23">
        <v>50558.0</v>
      </c>
      <c r="C209" s="23">
        <v>1578.0</v>
      </c>
      <c r="D209" s="24">
        <v>2890.0</v>
      </c>
      <c r="E209" s="25">
        <v>21.0</v>
      </c>
      <c r="F209" s="26">
        <v>2788.0</v>
      </c>
    </row>
    <row r="210" ht="22.5" customHeight="1">
      <c r="A210" s="21">
        <v>45866.0</v>
      </c>
      <c r="B210" s="23">
        <v>82330.0</v>
      </c>
      <c r="C210" s="23">
        <v>1093.0</v>
      </c>
      <c r="D210" s="24">
        <v>2151.0</v>
      </c>
      <c r="E210" s="25">
        <v>20.0</v>
      </c>
      <c r="F210" s="26">
        <v>2313.0</v>
      </c>
    </row>
    <row r="211" ht="22.5" customHeight="1">
      <c r="A211" s="21">
        <v>45867.0</v>
      </c>
      <c r="B211" s="23">
        <v>39166.0</v>
      </c>
      <c r="C211" s="23">
        <v>994.0</v>
      </c>
      <c r="D211" s="24">
        <v>1238.0</v>
      </c>
      <c r="E211" s="25">
        <v>17.0</v>
      </c>
      <c r="F211" s="26">
        <v>2766.0</v>
      </c>
    </row>
    <row r="212" ht="22.5" customHeight="1">
      <c r="A212" s="21">
        <v>45868.0</v>
      </c>
      <c r="B212" s="23">
        <v>50849.0</v>
      </c>
      <c r="C212" s="23">
        <v>855.0</v>
      </c>
      <c r="D212" s="24">
        <v>889.0</v>
      </c>
      <c r="E212" s="25">
        <v>13.0</v>
      </c>
      <c r="F212" s="26">
        <v>2204.0</v>
      </c>
    </row>
    <row r="213" ht="22.5" customHeight="1">
      <c r="A213" s="21">
        <v>45869.0</v>
      </c>
      <c r="B213" s="23">
        <v>37335.0</v>
      </c>
      <c r="C213" s="23">
        <v>849.0</v>
      </c>
      <c r="D213" s="24">
        <v>1640.0</v>
      </c>
      <c r="E213" s="25">
        <v>18.0</v>
      </c>
      <c r="F213" s="26">
        <v>2975.0</v>
      </c>
    </row>
    <row r="214" ht="22.5" customHeight="1">
      <c r="A214" s="21">
        <v>45870.0</v>
      </c>
      <c r="B214" s="23">
        <v>51942.0</v>
      </c>
      <c r="C214" s="23">
        <v>860.0</v>
      </c>
      <c r="D214" s="24">
        <v>1163.0</v>
      </c>
      <c r="E214" s="25">
        <v>13.0</v>
      </c>
      <c r="F214" s="26">
        <v>2157.0</v>
      </c>
    </row>
    <row r="215" ht="22.5" customHeight="1">
      <c r="A215" s="21">
        <v>45871.0</v>
      </c>
      <c r="B215" s="23">
        <v>52511.0</v>
      </c>
      <c r="C215" s="23">
        <v>798.0</v>
      </c>
      <c r="D215" s="24">
        <v>941.0</v>
      </c>
      <c r="E215" s="25">
        <v>19.0</v>
      </c>
      <c r="F215" s="26">
        <v>2383.0</v>
      </c>
    </row>
    <row r="216" ht="22.5" customHeight="1">
      <c r="A216" s="21">
        <v>45872.0</v>
      </c>
      <c r="B216" s="23">
        <v>72199.0</v>
      </c>
      <c r="C216" s="23">
        <v>1967.0</v>
      </c>
      <c r="D216" s="24">
        <v>2870.0</v>
      </c>
      <c r="E216" s="25">
        <v>47.0</v>
      </c>
      <c r="F216" s="26">
        <v>6460.0</v>
      </c>
    </row>
    <row r="217" ht="22.5" customHeight="1">
      <c r="A217" s="21">
        <v>45873.0</v>
      </c>
      <c r="B217" s="23">
        <v>41541.0</v>
      </c>
      <c r="C217" s="23">
        <v>737.0</v>
      </c>
      <c r="D217" s="24">
        <v>1286.0</v>
      </c>
      <c r="E217" s="25">
        <v>13.0</v>
      </c>
      <c r="F217" s="26">
        <v>2077.0</v>
      </c>
    </row>
    <row r="218" ht="22.5" customHeight="1">
      <c r="A218" s="21">
        <v>45874.0</v>
      </c>
      <c r="B218" s="23">
        <v>37318.0</v>
      </c>
      <c r="C218" s="23">
        <v>868.0</v>
      </c>
      <c r="D218" s="24">
        <v>1358.0</v>
      </c>
      <c r="E218" s="25">
        <v>15.0</v>
      </c>
      <c r="F218" s="26">
        <v>1994.0</v>
      </c>
    </row>
    <row r="219" ht="22.5" customHeight="1">
      <c r="A219" s="21">
        <v>45875.0</v>
      </c>
      <c r="B219" s="23">
        <v>44137.0</v>
      </c>
      <c r="C219" s="23">
        <v>638.0</v>
      </c>
      <c r="D219" s="24">
        <v>686.0</v>
      </c>
      <c r="E219" s="25">
        <v>14.0</v>
      </c>
      <c r="F219" s="26">
        <v>1869.0</v>
      </c>
    </row>
    <row r="220" ht="22.5" customHeight="1">
      <c r="A220" s="21">
        <v>45876.0</v>
      </c>
      <c r="B220" s="23">
        <v>58673.0</v>
      </c>
      <c r="C220" s="23">
        <v>2040.0</v>
      </c>
      <c r="D220" s="24">
        <v>3395.0</v>
      </c>
      <c r="E220" s="25">
        <v>41.0</v>
      </c>
      <c r="F220" s="26">
        <v>7863.0</v>
      </c>
    </row>
    <row r="221" ht="22.5" customHeight="1">
      <c r="A221" s="21">
        <v>45877.0</v>
      </c>
      <c r="B221" s="23">
        <v>106960.0</v>
      </c>
      <c r="C221" s="23">
        <v>1659.0</v>
      </c>
      <c r="D221" s="24">
        <v>1903.0</v>
      </c>
      <c r="E221" s="25">
        <v>33.0</v>
      </c>
      <c r="F221" s="26">
        <v>4388.0</v>
      </c>
    </row>
    <row r="222" ht="22.5" customHeight="1">
      <c r="A222" s="21">
        <v>45878.0</v>
      </c>
      <c r="B222" s="23">
        <v>35706.0</v>
      </c>
      <c r="C222" s="23">
        <v>356.0</v>
      </c>
      <c r="D222" s="24">
        <v>463.0</v>
      </c>
      <c r="E222" s="25">
        <v>9.0</v>
      </c>
      <c r="F222" s="26">
        <v>1065.0</v>
      </c>
    </row>
    <row r="223" ht="22.5" customHeight="1">
      <c r="A223" s="21">
        <v>45879.0</v>
      </c>
      <c r="B223" s="23">
        <v>52249.0</v>
      </c>
      <c r="C223" s="23">
        <v>1286.0</v>
      </c>
      <c r="D223" s="24">
        <v>2414.0</v>
      </c>
      <c r="E223" s="25">
        <v>14.0</v>
      </c>
      <c r="F223" s="26">
        <v>2299.0</v>
      </c>
    </row>
    <row r="224" ht="22.5" customHeight="1">
      <c r="A224" s="21">
        <v>45880.0</v>
      </c>
      <c r="B224" s="23">
        <v>80576.0</v>
      </c>
      <c r="C224" s="23">
        <v>1153.0</v>
      </c>
      <c r="D224" s="24">
        <v>2068.0</v>
      </c>
      <c r="E224" s="25">
        <v>26.0</v>
      </c>
      <c r="F224" s="26">
        <v>2980.0</v>
      </c>
    </row>
    <row r="225" ht="22.5" customHeight="1">
      <c r="A225" s="21">
        <v>45881.0</v>
      </c>
      <c r="B225" s="23">
        <v>17630.0</v>
      </c>
      <c r="C225" s="23">
        <v>307.0</v>
      </c>
      <c r="D225" s="24">
        <v>589.0</v>
      </c>
      <c r="E225" s="25">
        <v>6.0</v>
      </c>
      <c r="F225" s="26">
        <v>1086.0</v>
      </c>
    </row>
    <row r="226" ht="22.5" customHeight="1">
      <c r="A226" s="21">
        <v>45882.0</v>
      </c>
      <c r="B226" s="23">
        <v>53805.0</v>
      </c>
      <c r="C226" s="23">
        <v>752.0</v>
      </c>
      <c r="D226" s="24">
        <v>1138.0</v>
      </c>
      <c r="E226" s="25">
        <v>9.0</v>
      </c>
      <c r="F226" s="26">
        <v>1033.0</v>
      </c>
    </row>
    <row r="227" ht="22.5" customHeight="1">
      <c r="A227" s="21">
        <v>45883.0</v>
      </c>
      <c r="B227" s="23">
        <v>87678.0</v>
      </c>
      <c r="C227" s="23">
        <v>1935.0</v>
      </c>
      <c r="D227" s="24">
        <v>2728.0</v>
      </c>
      <c r="E227" s="25">
        <v>36.0</v>
      </c>
      <c r="F227" s="26">
        <v>7318.0</v>
      </c>
    </row>
    <row r="228" ht="22.5" customHeight="1">
      <c r="A228" s="21">
        <v>45884.0</v>
      </c>
      <c r="B228" s="23">
        <v>67967.0</v>
      </c>
      <c r="C228" s="23">
        <v>2074.0</v>
      </c>
      <c r="D228" s="24">
        <v>3519.0</v>
      </c>
      <c r="E228" s="25">
        <v>28.0</v>
      </c>
      <c r="F228" s="26">
        <v>3599.0</v>
      </c>
    </row>
    <row r="229" ht="22.5" customHeight="1">
      <c r="A229" s="21">
        <v>45885.0</v>
      </c>
      <c r="B229" s="23">
        <v>28092.0</v>
      </c>
      <c r="C229" s="23">
        <v>709.0</v>
      </c>
      <c r="D229" s="24">
        <v>793.0</v>
      </c>
      <c r="E229" s="25">
        <v>10.0</v>
      </c>
      <c r="F229" s="26">
        <v>1473.0</v>
      </c>
    </row>
    <row r="230" ht="22.5" customHeight="1">
      <c r="A230" s="21">
        <v>45886.0</v>
      </c>
      <c r="B230" s="23">
        <v>95908.0</v>
      </c>
      <c r="C230" s="23">
        <v>1324.0</v>
      </c>
      <c r="D230" s="24">
        <v>2186.0</v>
      </c>
      <c r="E230" s="25">
        <v>23.0</v>
      </c>
      <c r="F230" s="26">
        <v>3772.0</v>
      </c>
    </row>
    <row r="231" ht="22.5" customHeight="1">
      <c r="A231" s="21">
        <v>45887.0</v>
      </c>
      <c r="B231" s="23">
        <v>78748.0</v>
      </c>
      <c r="C231" s="23">
        <v>1495.0</v>
      </c>
      <c r="D231" s="24">
        <v>2270.0</v>
      </c>
      <c r="E231" s="25">
        <v>35.0</v>
      </c>
      <c r="F231" s="26">
        <v>4900.0</v>
      </c>
    </row>
    <row r="232" ht="22.5" customHeight="1">
      <c r="A232" s="21">
        <v>45888.0</v>
      </c>
      <c r="B232" s="23">
        <v>11723.0</v>
      </c>
      <c r="C232" s="23">
        <v>250.0</v>
      </c>
      <c r="D232" s="24">
        <v>397.0</v>
      </c>
      <c r="E232" s="25">
        <v>5.0</v>
      </c>
      <c r="F232" s="26">
        <v>714.0</v>
      </c>
    </row>
    <row r="233" ht="22.5" customHeight="1">
      <c r="A233" s="21">
        <v>45889.0</v>
      </c>
      <c r="B233" s="23">
        <v>13511.0</v>
      </c>
      <c r="C233" s="23">
        <v>271.0</v>
      </c>
      <c r="D233" s="24">
        <v>494.0</v>
      </c>
      <c r="E233" s="25">
        <v>4.0</v>
      </c>
      <c r="F233" s="26">
        <v>657.0</v>
      </c>
    </row>
    <row r="234" ht="22.5" customHeight="1">
      <c r="A234" s="21">
        <v>45890.0</v>
      </c>
      <c r="B234" s="23">
        <v>11744.0</v>
      </c>
      <c r="C234" s="23">
        <v>193.0</v>
      </c>
      <c r="D234" s="24">
        <v>239.0</v>
      </c>
      <c r="E234" s="25">
        <v>3.0</v>
      </c>
      <c r="F234" s="26">
        <v>639.0</v>
      </c>
    </row>
    <row r="235" ht="22.5" customHeight="1">
      <c r="A235" s="21">
        <v>45891.0</v>
      </c>
      <c r="B235" s="23">
        <v>55379.0</v>
      </c>
      <c r="C235" s="23">
        <v>1286.0</v>
      </c>
      <c r="D235" s="24">
        <v>2507.0</v>
      </c>
      <c r="E235" s="25">
        <v>18.0</v>
      </c>
      <c r="F235" s="26">
        <v>3217.0</v>
      </c>
    </row>
    <row r="236" ht="22.5" customHeight="1">
      <c r="A236" s="21">
        <v>45892.0</v>
      </c>
      <c r="B236" s="23">
        <v>92269.0</v>
      </c>
      <c r="C236" s="23">
        <v>2105.0</v>
      </c>
      <c r="D236" s="24">
        <v>2697.0</v>
      </c>
      <c r="E236" s="25">
        <v>37.0</v>
      </c>
      <c r="F236" s="26">
        <v>5606.0</v>
      </c>
    </row>
    <row r="237" ht="22.5" customHeight="1">
      <c r="A237" s="21">
        <v>45893.0</v>
      </c>
      <c r="B237" s="23">
        <v>24200.0</v>
      </c>
      <c r="C237" s="23">
        <v>753.0</v>
      </c>
      <c r="D237" s="24">
        <v>894.0</v>
      </c>
      <c r="E237" s="25">
        <v>15.0</v>
      </c>
      <c r="F237" s="26">
        <v>2345.0</v>
      </c>
    </row>
    <row r="238" ht="22.5" customHeight="1">
      <c r="A238" s="21">
        <v>45894.0</v>
      </c>
      <c r="B238" s="23">
        <v>94898.0</v>
      </c>
      <c r="C238" s="23">
        <v>1339.0</v>
      </c>
      <c r="D238" s="24">
        <v>2621.0</v>
      </c>
      <c r="E238" s="25">
        <v>24.0</v>
      </c>
      <c r="F238" s="26">
        <v>4446.0</v>
      </c>
    </row>
    <row r="239" ht="22.5" customHeight="1">
      <c r="A239" s="21">
        <v>45895.0</v>
      </c>
      <c r="B239" s="23">
        <v>82128.0</v>
      </c>
      <c r="C239" s="23">
        <v>1265.0</v>
      </c>
      <c r="D239" s="24">
        <v>2304.0</v>
      </c>
      <c r="E239" s="25">
        <v>25.0</v>
      </c>
      <c r="F239" s="26">
        <v>3616.0</v>
      </c>
    </row>
    <row r="240" ht="22.5" customHeight="1">
      <c r="A240" s="21">
        <v>45896.0</v>
      </c>
      <c r="B240" s="23">
        <v>59574.0</v>
      </c>
      <c r="C240" s="23">
        <v>1379.0</v>
      </c>
      <c r="D240" s="24">
        <v>2683.0</v>
      </c>
      <c r="E240" s="25">
        <v>24.0</v>
      </c>
      <c r="F240" s="26">
        <v>3025.0</v>
      </c>
    </row>
    <row r="241" ht="22.5" customHeight="1">
      <c r="A241" s="21">
        <v>45897.0</v>
      </c>
      <c r="B241" s="23">
        <v>24834.0</v>
      </c>
      <c r="C241" s="23">
        <v>386.0</v>
      </c>
      <c r="D241" s="24">
        <v>659.0</v>
      </c>
      <c r="E241" s="25">
        <v>4.0</v>
      </c>
      <c r="F241" s="26">
        <v>686.0</v>
      </c>
    </row>
    <row r="242" ht="22.5" customHeight="1">
      <c r="A242" s="21">
        <v>45898.0</v>
      </c>
      <c r="B242" s="23">
        <v>52708.0</v>
      </c>
      <c r="C242" s="23">
        <v>619.0</v>
      </c>
      <c r="D242" s="24">
        <v>896.0</v>
      </c>
      <c r="E242" s="25">
        <v>14.0</v>
      </c>
      <c r="F242" s="26">
        <v>2313.0</v>
      </c>
    </row>
    <row r="243" ht="22.5" customHeight="1">
      <c r="A243" s="21">
        <v>45899.0</v>
      </c>
      <c r="B243" s="23">
        <v>15425.0</v>
      </c>
      <c r="C243" s="23">
        <v>292.0</v>
      </c>
      <c r="D243" s="24">
        <v>620.0</v>
      </c>
      <c r="E243" s="25">
        <v>5.0</v>
      </c>
      <c r="F243" s="26">
        <v>603.0</v>
      </c>
    </row>
    <row r="244" ht="22.5" customHeight="1">
      <c r="A244" s="21">
        <v>45900.0</v>
      </c>
      <c r="B244" s="23">
        <v>71281.0</v>
      </c>
      <c r="C244" s="23">
        <v>1339.0</v>
      </c>
      <c r="D244" s="24">
        <v>1331.0</v>
      </c>
      <c r="E244" s="25">
        <v>21.0</v>
      </c>
      <c r="F244" s="26">
        <v>2821.0</v>
      </c>
    </row>
    <row r="245" ht="22.5" customHeight="1">
      <c r="A245" s="21">
        <v>45901.0</v>
      </c>
      <c r="B245" s="23">
        <v>86224.0</v>
      </c>
      <c r="C245" s="23">
        <v>1270.0</v>
      </c>
      <c r="D245" s="24">
        <v>2626.0</v>
      </c>
      <c r="E245" s="25">
        <v>28.0</v>
      </c>
      <c r="F245" s="26">
        <v>3297.0</v>
      </c>
    </row>
    <row r="246" ht="22.5" customHeight="1">
      <c r="A246" s="21">
        <v>45902.0</v>
      </c>
      <c r="B246" s="23">
        <v>54980.0</v>
      </c>
      <c r="C246" s="23">
        <v>1536.0</v>
      </c>
      <c r="D246" s="24">
        <v>1412.0</v>
      </c>
      <c r="E246" s="25">
        <v>25.0</v>
      </c>
      <c r="F246" s="26">
        <v>2705.0</v>
      </c>
    </row>
    <row r="247" ht="22.5" customHeight="1">
      <c r="A247" s="21">
        <v>45903.0</v>
      </c>
      <c r="B247" s="23">
        <v>20759.0</v>
      </c>
      <c r="C247" s="23">
        <v>579.0</v>
      </c>
      <c r="D247" s="24">
        <v>656.0</v>
      </c>
      <c r="E247" s="25">
        <v>6.0</v>
      </c>
      <c r="F247" s="26">
        <v>1270.0</v>
      </c>
    </row>
    <row r="248" ht="22.5" customHeight="1">
      <c r="A248" s="21">
        <v>45904.0</v>
      </c>
      <c r="B248" s="23">
        <v>88745.0</v>
      </c>
      <c r="C248" s="23">
        <v>2322.0</v>
      </c>
      <c r="D248" s="24">
        <v>3188.0</v>
      </c>
      <c r="E248" s="25">
        <v>55.0</v>
      </c>
      <c r="F248" s="26">
        <v>8498.0</v>
      </c>
    </row>
    <row r="249" ht="22.5" customHeight="1">
      <c r="A249" s="21">
        <v>45905.0</v>
      </c>
      <c r="B249" s="23">
        <v>90562.0</v>
      </c>
      <c r="C249" s="23">
        <v>1791.0</v>
      </c>
      <c r="D249" s="24">
        <v>3166.0</v>
      </c>
      <c r="E249" s="25">
        <v>32.0</v>
      </c>
      <c r="F249" s="26">
        <v>6246.0</v>
      </c>
    </row>
    <row r="250" ht="22.5" customHeight="1">
      <c r="A250" s="21">
        <v>45906.0</v>
      </c>
      <c r="B250" s="23">
        <v>31457.0</v>
      </c>
      <c r="C250" s="23">
        <v>770.0</v>
      </c>
      <c r="D250" s="24">
        <v>1563.0</v>
      </c>
      <c r="E250" s="25">
        <v>11.0</v>
      </c>
      <c r="F250" s="26">
        <v>2011.0</v>
      </c>
    </row>
    <row r="251" ht="22.5" customHeight="1">
      <c r="A251" s="21">
        <v>45907.0</v>
      </c>
      <c r="B251" s="23">
        <v>16887.0</v>
      </c>
      <c r="C251" s="23">
        <v>198.0</v>
      </c>
      <c r="D251" s="24">
        <v>365.0</v>
      </c>
      <c r="E251" s="25">
        <v>2.0</v>
      </c>
      <c r="F251" s="26">
        <v>358.0</v>
      </c>
    </row>
    <row r="252" ht="22.5" customHeight="1">
      <c r="A252" s="21">
        <v>45908.0</v>
      </c>
      <c r="B252" s="23">
        <v>52594.0</v>
      </c>
      <c r="C252" s="23">
        <v>599.0</v>
      </c>
      <c r="D252" s="24">
        <v>1092.0</v>
      </c>
      <c r="E252" s="25">
        <v>15.0</v>
      </c>
      <c r="F252" s="26">
        <v>2225.0</v>
      </c>
    </row>
    <row r="253" ht="22.5" customHeight="1">
      <c r="A253" s="21">
        <v>45909.0</v>
      </c>
      <c r="B253" s="23">
        <v>16880.0</v>
      </c>
      <c r="C253" s="23">
        <v>376.0</v>
      </c>
      <c r="D253" s="24">
        <v>477.0</v>
      </c>
      <c r="E253" s="25">
        <v>5.0</v>
      </c>
      <c r="F253" s="26">
        <v>904.0</v>
      </c>
    </row>
    <row r="254" ht="22.5" customHeight="1">
      <c r="A254" s="21">
        <v>45910.0</v>
      </c>
      <c r="B254" s="23">
        <v>66692.0</v>
      </c>
      <c r="C254" s="23">
        <v>1275.0</v>
      </c>
      <c r="D254" s="24">
        <v>2180.0</v>
      </c>
      <c r="E254" s="25">
        <v>21.0</v>
      </c>
      <c r="F254" s="26">
        <v>3156.0</v>
      </c>
    </row>
    <row r="255" ht="22.5" customHeight="1">
      <c r="A255" s="21">
        <v>45911.0</v>
      </c>
      <c r="B255" s="23">
        <v>61970.0</v>
      </c>
      <c r="C255" s="23">
        <v>640.0</v>
      </c>
      <c r="D255" s="24">
        <v>1111.0</v>
      </c>
      <c r="E255" s="25">
        <v>14.0</v>
      </c>
      <c r="F255" s="26">
        <v>2808.0</v>
      </c>
    </row>
    <row r="256" ht="22.5" customHeight="1">
      <c r="A256" s="21">
        <v>45912.0</v>
      </c>
      <c r="B256" s="23">
        <v>48632.0</v>
      </c>
      <c r="C256" s="23">
        <v>701.0</v>
      </c>
      <c r="D256" s="24">
        <v>1059.0</v>
      </c>
      <c r="E256" s="25">
        <v>13.0</v>
      </c>
      <c r="F256" s="26">
        <v>2447.0</v>
      </c>
    </row>
    <row r="257" ht="22.5" customHeight="1">
      <c r="A257" s="21">
        <v>45913.0</v>
      </c>
      <c r="B257" s="23">
        <v>91672.0</v>
      </c>
      <c r="C257" s="23">
        <v>1379.0</v>
      </c>
      <c r="D257" s="24">
        <v>1561.0</v>
      </c>
      <c r="E257" s="25">
        <v>35.0</v>
      </c>
      <c r="F257" s="26">
        <v>5446.0</v>
      </c>
    </row>
    <row r="258" ht="22.5" customHeight="1">
      <c r="A258" s="21">
        <v>45914.0</v>
      </c>
      <c r="B258" s="23">
        <v>81449.0</v>
      </c>
      <c r="C258" s="23">
        <v>1527.0</v>
      </c>
      <c r="D258" s="24">
        <v>2167.0</v>
      </c>
      <c r="E258" s="25">
        <v>41.0</v>
      </c>
      <c r="F258" s="26">
        <v>6863.0</v>
      </c>
    </row>
    <row r="259" ht="22.5" customHeight="1">
      <c r="A259" s="21">
        <v>45915.0</v>
      </c>
      <c r="B259" s="23">
        <v>51464.0</v>
      </c>
      <c r="C259" s="23">
        <v>592.0</v>
      </c>
      <c r="D259" s="24">
        <v>887.0</v>
      </c>
      <c r="E259" s="25">
        <v>9.0</v>
      </c>
      <c r="F259" s="26">
        <v>1242.0</v>
      </c>
    </row>
    <row r="260" ht="22.5" customHeight="1">
      <c r="A260" s="21">
        <v>45916.0</v>
      </c>
      <c r="B260" s="23">
        <v>52154.0</v>
      </c>
      <c r="C260" s="23">
        <v>1496.0</v>
      </c>
      <c r="D260" s="24">
        <v>2324.0</v>
      </c>
      <c r="E260" s="25">
        <v>20.0</v>
      </c>
      <c r="F260" s="26">
        <v>3593.0</v>
      </c>
    </row>
    <row r="261" ht="22.5" customHeight="1">
      <c r="A261" s="21">
        <v>45917.0</v>
      </c>
      <c r="B261" s="23">
        <v>31475.0</v>
      </c>
      <c r="C261" s="23">
        <v>531.0</v>
      </c>
      <c r="D261" s="24">
        <v>1020.0</v>
      </c>
      <c r="E261" s="25">
        <v>11.0</v>
      </c>
      <c r="F261" s="26">
        <v>1433.0</v>
      </c>
    </row>
    <row r="262" ht="22.5" customHeight="1">
      <c r="A262" s="21">
        <v>45918.0</v>
      </c>
      <c r="B262" s="23">
        <v>12277.0</v>
      </c>
      <c r="C262" s="23">
        <v>177.0</v>
      </c>
      <c r="D262" s="24">
        <v>294.0</v>
      </c>
      <c r="E262" s="25">
        <v>3.0</v>
      </c>
      <c r="F262" s="26">
        <v>609.0</v>
      </c>
    </row>
    <row r="263" ht="22.5" customHeight="1">
      <c r="A263" s="21">
        <v>45919.0</v>
      </c>
      <c r="B263" s="23">
        <v>13766.0</v>
      </c>
      <c r="C263" s="23">
        <v>142.0</v>
      </c>
      <c r="D263" s="24">
        <v>265.0</v>
      </c>
      <c r="E263" s="25">
        <v>2.0</v>
      </c>
      <c r="F263" s="26">
        <v>265.0</v>
      </c>
    </row>
    <row r="264" ht="22.5" customHeight="1">
      <c r="A264" s="21">
        <v>45920.0</v>
      </c>
      <c r="B264" s="23">
        <v>10679.0</v>
      </c>
      <c r="C264" s="23">
        <v>156.0</v>
      </c>
      <c r="D264" s="24">
        <v>316.0</v>
      </c>
      <c r="E264" s="25">
        <v>3.0</v>
      </c>
      <c r="F264" s="26">
        <v>414.0</v>
      </c>
    </row>
    <row r="265" ht="22.5" customHeight="1">
      <c r="A265" s="21">
        <v>45921.0</v>
      </c>
      <c r="B265" s="23">
        <v>83585.0</v>
      </c>
      <c r="C265" s="23">
        <v>1442.0</v>
      </c>
      <c r="D265" s="24">
        <v>1709.0</v>
      </c>
      <c r="E265" s="25">
        <v>24.0</v>
      </c>
      <c r="F265" s="26">
        <v>4584.0</v>
      </c>
    </row>
    <row r="266" ht="22.5" customHeight="1">
      <c r="A266" s="21">
        <v>45922.0</v>
      </c>
      <c r="B266" s="23">
        <v>85216.0</v>
      </c>
      <c r="C266" s="23">
        <v>1613.0</v>
      </c>
      <c r="D266" s="24">
        <v>3053.0</v>
      </c>
      <c r="E266" s="25">
        <v>31.0</v>
      </c>
      <c r="F266" s="26">
        <v>6251.0</v>
      </c>
    </row>
    <row r="267" ht="22.5" customHeight="1">
      <c r="A267" s="21">
        <v>45923.0</v>
      </c>
      <c r="B267" s="23">
        <v>24444.0</v>
      </c>
      <c r="C267" s="23">
        <v>721.0</v>
      </c>
      <c r="D267" s="24">
        <v>1037.0</v>
      </c>
      <c r="E267" s="25">
        <v>10.0</v>
      </c>
      <c r="F267" s="26">
        <v>2179.0</v>
      </c>
    </row>
    <row r="268" ht="22.5" customHeight="1">
      <c r="A268" s="21">
        <v>45924.0</v>
      </c>
      <c r="B268" s="23">
        <v>51143.0</v>
      </c>
      <c r="C268" s="23">
        <v>1721.0</v>
      </c>
      <c r="D268" s="24">
        <v>1863.0</v>
      </c>
      <c r="E268" s="25">
        <v>37.0</v>
      </c>
      <c r="F268" s="26">
        <v>4001.0</v>
      </c>
    </row>
    <row r="269" ht="22.5" customHeight="1">
      <c r="A269" s="21">
        <v>45925.0</v>
      </c>
      <c r="B269" s="23">
        <v>66440.0</v>
      </c>
      <c r="C269" s="23">
        <v>868.0</v>
      </c>
      <c r="D269" s="24">
        <v>1705.0</v>
      </c>
      <c r="E269" s="25">
        <v>13.0</v>
      </c>
      <c r="F269" s="26">
        <v>1586.0</v>
      </c>
    </row>
    <row r="270" ht="22.5" customHeight="1">
      <c r="A270" s="21">
        <v>45926.0</v>
      </c>
      <c r="B270" s="23">
        <v>65236.0</v>
      </c>
      <c r="C270" s="23">
        <v>1605.0</v>
      </c>
      <c r="D270" s="24">
        <v>2595.0</v>
      </c>
      <c r="E270" s="25">
        <v>37.0</v>
      </c>
      <c r="F270" s="26">
        <v>6155.0</v>
      </c>
    </row>
    <row r="271" ht="22.5" customHeight="1">
      <c r="A271" s="21">
        <v>45927.0</v>
      </c>
      <c r="B271" s="23">
        <v>43894.0</v>
      </c>
      <c r="C271" s="23">
        <v>628.0</v>
      </c>
      <c r="D271" s="24">
        <v>944.0</v>
      </c>
      <c r="E271" s="25">
        <v>13.0</v>
      </c>
      <c r="F271" s="26">
        <v>2549.0</v>
      </c>
    </row>
    <row r="272" ht="22.5" customHeight="1">
      <c r="A272" s="21">
        <v>45928.0</v>
      </c>
      <c r="B272" s="23">
        <v>14553.0</v>
      </c>
      <c r="C272" s="23">
        <v>228.0</v>
      </c>
      <c r="D272" s="24">
        <v>272.0</v>
      </c>
      <c r="E272" s="25">
        <v>5.0</v>
      </c>
      <c r="F272" s="26">
        <v>593.0</v>
      </c>
    </row>
    <row r="273" ht="22.5" customHeight="1">
      <c r="A273" s="21">
        <v>45929.0</v>
      </c>
      <c r="B273" s="23">
        <v>28284.0</v>
      </c>
      <c r="C273" s="23">
        <v>742.0</v>
      </c>
      <c r="D273" s="24">
        <v>999.0</v>
      </c>
      <c r="E273" s="25">
        <v>11.0</v>
      </c>
      <c r="F273" s="26">
        <v>1367.0</v>
      </c>
    </row>
    <row r="274" ht="22.5" customHeight="1">
      <c r="A274" s="21">
        <v>45930.0</v>
      </c>
      <c r="B274" s="23">
        <v>42083.0</v>
      </c>
      <c r="C274" s="23">
        <v>1040.0</v>
      </c>
      <c r="D274" s="24">
        <v>1615.0</v>
      </c>
      <c r="E274" s="25">
        <v>19.0</v>
      </c>
      <c r="F274" s="26">
        <v>2141.0</v>
      </c>
    </row>
    <row r="275" ht="22.5" customHeight="1">
      <c r="A275" s="21">
        <v>45931.0</v>
      </c>
      <c r="B275" s="23">
        <v>61042.0</v>
      </c>
      <c r="C275" s="23">
        <v>1671.0</v>
      </c>
      <c r="D275" s="24">
        <v>2682.0</v>
      </c>
      <c r="E275" s="25">
        <v>30.0</v>
      </c>
      <c r="F275" s="26">
        <v>6131.0</v>
      </c>
    </row>
    <row r="276" ht="22.5" customHeight="1">
      <c r="A276" s="21">
        <v>45932.0</v>
      </c>
      <c r="B276" s="23">
        <v>76058.0</v>
      </c>
      <c r="C276" s="23">
        <v>2361.0</v>
      </c>
      <c r="D276" s="24">
        <v>3366.0</v>
      </c>
      <c r="E276" s="25">
        <v>49.0</v>
      </c>
      <c r="F276" s="26">
        <v>4917.0</v>
      </c>
    </row>
    <row r="277" ht="22.5" customHeight="1">
      <c r="A277" s="21">
        <v>45933.0</v>
      </c>
      <c r="B277" s="23">
        <v>92404.0</v>
      </c>
      <c r="C277" s="23">
        <v>1801.0</v>
      </c>
      <c r="D277" s="24">
        <v>1867.0</v>
      </c>
      <c r="E277" s="25">
        <v>40.0</v>
      </c>
      <c r="F277" s="26">
        <v>7367.0</v>
      </c>
    </row>
    <row r="278" ht="22.5" customHeight="1">
      <c r="A278" s="21">
        <v>45934.0</v>
      </c>
      <c r="B278" s="23">
        <v>87773.0</v>
      </c>
      <c r="C278" s="23">
        <v>1456.0</v>
      </c>
      <c r="D278" s="24">
        <v>2180.0</v>
      </c>
      <c r="E278" s="25">
        <v>37.0</v>
      </c>
      <c r="F278" s="26">
        <v>7204.0</v>
      </c>
    </row>
    <row r="279" ht="22.5" customHeight="1">
      <c r="A279" s="21">
        <v>45935.0</v>
      </c>
      <c r="B279" s="23">
        <v>45616.0</v>
      </c>
      <c r="C279" s="23">
        <v>836.0</v>
      </c>
      <c r="D279" s="24">
        <v>1254.0</v>
      </c>
      <c r="E279" s="25">
        <v>15.0</v>
      </c>
      <c r="F279" s="26">
        <v>2193.0</v>
      </c>
    </row>
    <row r="280" ht="22.5" customHeight="1">
      <c r="A280" s="21">
        <v>45936.0</v>
      </c>
      <c r="B280" s="23">
        <v>51574.0</v>
      </c>
      <c r="C280" s="23">
        <v>1324.0</v>
      </c>
      <c r="D280" s="24">
        <v>2347.0</v>
      </c>
      <c r="E280" s="25">
        <v>22.0</v>
      </c>
      <c r="F280" s="26">
        <v>3951.0</v>
      </c>
    </row>
    <row r="281" ht="22.5" customHeight="1">
      <c r="A281" s="21">
        <v>45937.0</v>
      </c>
      <c r="B281" s="23">
        <v>19918.0</v>
      </c>
      <c r="C281" s="23">
        <v>404.0</v>
      </c>
      <c r="D281" s="24">
        <v>488.0</v>
      </c>
      <c r="E281" s="25">
        <v>5.0</v>
      </c>
      <c r="F281" s="26">
        <v>1029.0</v>
      </c>
    </row>
    <row r="282" ht="22.5" customHeight="1">
      <c r="A282" s="21">
        <v>45938.0</v>
      </c>
      <c r="B282" s="23">
        <v>91666.0</v>
      </c>
      <c r="C282" s="23">
        <v>1823.0</v>
      </c>
      <c r="D282" s="24">
        <v>3325.0</v>
      </c>
      <c r="E282" s="25">
        <v>39.0</v>
      </c>
      <c r="F282" s="26">
        <v>5127.0</v>
      </c>
    </row>
    <row r="283" ht="22.5" customHeight="1">
      <c r="A283" s="21">
        <v>45939.0</v>
      </c>
      <c r="B283" s="23">
        <v>61157.0</v>
      </c>
      <c r="C283" s="23">
        <v>1132.0</v>
      </c>
      <c r="D283" s="24">
        <v>1413.0</v>
      </c>
      <c r="E283" s="25">
        <v>15.0</v>
      </c>
      <c r="F283" s="26">
        <v>2585.0</v>
      </c>
    </row>
    <row r="284" ht="22.5" customHeight="1">
      <c r="A284" s="21">
        <v>45940.0</v>
      </c>
      <c r="B284" s="23">
        <v>82264.0</v>
      </c>
      <c r="C284" s="23">
        <v>1448.0</v>
      </c>
      <c r="D284" s="24">
        <v>1768.0</v>
      </c>
      <c r="E284" s="25">
        <v>39.0</v>
      </c>
      <c r="F284" s="26">
        <v>4921.0</v>
      </c>
    </row>
    <row r="285" ht="22.5" customHeight="1">
      <c r="A285" s="21">
        <v>45941.0</v>
      </c>
      <c r="B285" s="23">
        <v>65303.0</v>
      </c>
      <c r="C285" s="23">
        <v>1046.0</v>
      </c>
      <c r="D285" s="24">
        <v>1510.0</v>
      </c>
      <c r="E285" s="25">
        <v>19.0</v>
      </c>
      <c r="F285" s="26">
        <v>2470.0</v>
      </c>
    </row>
    <row r="286" ht="22.5" customHeight="1">
      <c r="A286" s="21">
        <v>45942.0</v>
      </c>
      <c r="B286" s="23">
        <v>18331.0</v>
      </c>
      <c r="C286" s="23">
        <v>248.0</v>
      </c>
      <c r="D286" s="24">
        <v>257.0</v>
      </c>
      <c r="E286" s="25">
        <v>3.0</v>
      </c>
      <c r="F286" s="26">
        <v>508.0</v>
      </c>
    </row>
    <row r="287" ht="22.5" customHeight="1">
      <c r="A287" s="21">
        <v>45943.0</v>
      </c>
      <c r="B287" s="23">
        <v>91113.0</v>
      </c>
      <c r="C287" s="23">
        <v>2710.0</v>
      </c>
      <c r="D287" s="24">
        <v>2479.0</v>
      </c>
      <c r="E287" s="25">
        <v>54.0</v>
      </c>
      <c r="F287" s="26">
        <v>5903.0</v>
      </c>
    </row>
    <row r="288" ht="22.5" customHeight="1">
      <c r="A288" s="21">
        <v>45944.0</v>
      </c>
      <c r="B288" s="23">
        <v>35818.0</v>
      </c>
      <c r="C288" s="23">
        <v>917.0</v>
      </c>
      <c r="D288" s="24">
        <v>1451.0</v>
      </c>
      <c r="E288" s="25">
        <v>15.0</v>
      </c>
      <c r="F288" s="26">
        <v>2396.0</v>
      </c>
    </row>
    <row r="289" ht="22.5" customHeight="1">
      <c r="A289" s="21">
        <v>45945.0</v>
      </c>
      <c r="B289" s="23">
        <v>53530.0</v>
      </c>
      <c r="C289" s="23">
        <v>1103.0</v>
      </c>
      <c r="D289" s="24">
        <v>1625.0</v>
      </c>
      <c r="E289" s="25">
        <v>22.0</v>
      </c>
      <c r="F289" s="26">
        <v>3729.0</v>
      </c>
    </row>
    <row r="290" ht="22.5" customHeight="1">
      <c r="A290" s="21">
        <v>45946.0</v>
      </c>
      <c r="B290" s="23">
        <v>55679.0</v>
      </c>
      <c r="C290" s="23">
        <v>852.0</v>
      </c>
      <c r="D290" s="24">
        <v>889.0</v>
      </c>
      <c r="E290" s="25">
        <v>16.0</v>
      </c>
      <c r="F290" s="26">
        <v>2659.0</v>
      </c>
    </row>
    <row r="291" ht="22.5" customHeight="1">
      <c r="A291" s="21">
        <v>45947.0</v>
      </c>
      <c r="B291" s="23">
        <v>46054.0</v>
      </c>
      <c r="C291" s="23">
        <v>714.0</v>
      </c>
      <c r="D291" s="24">
        <v>1386.0</v>
      </c>
      <c r="E291" s="25">
        <v>10.0</v>
      </c>
      <c r="F291" s="26">
        <v>1195.0</v>
      </c>
    </row>
    <row r="292" ht="22.5" customHeight="1">
      <c r="A292" s="21">
        <v>45948.0</v>
      </c>
      <c r="B292" s="23">
        <v>24167.0</v>
      </c>
      <c r="C292" s="23">
        <v>303.0</v>
      </c>
      <c r="D292" s="24">
        <v>481.0</v>
      </c>
      <c r="E292" s="25">
        <v>8.0</v>
      </c>
      <c r="F292" s="26">
        <v>1047.0</v>
      </c>
    </row>
    <row r="293" ht="22.5" customHeight="1">
      <c r="A293" s="21">
        <v>45949.0</v>
      </c>
      <c r="B293" s="23">
        <v>15830.0</v>
      </c>
      <c r="C293" s="23">
        <v>245.0</v>
      </c>
      <c r="D293" s="24">
        <v>366.0</v>
      </c>
      <c r="E293" s="25">
        <v>3.0</v>
      </c>
      <c r="F293" s="26">
        <v>553.0</v>
      </c>
    </row>
    <row r="294" ht="22.5" customHeight="1">
      <c r="A294" s="21">
        <v>45950.0</v>
      </c>
      <c r="B294" s="23">
        <v>77941.0</v>
      </c>
      <c r="C294" s="23">
        <v>1962.0</v>
      </c>
      <c r="D294" s="24">
        <v>1857.0</v>
      </c>
      <c r="E294" s="25">
        <v>37.0</v>
      </c>
      <c r="F294" s="26">
        <v>4952.0</v>
      </c>
    </row>
    <row r="295" ht="22.5" customHeight="1">
      <c r="A295" s="21">
        <v>45951.0</v>
      </c>
      <c r="B295" s="23">
        <v>86583.0</v>
      </c>
      <c r="C295" s="23">
        <v>2081.0</v>
      </c>
      <c r="D295" s="24">
        <v>2878.0</v>
      </c>
      <c r="E295" s="25">
        <v>36.0</v>
      </c>
      <c r="F295" s="26">
        <v>3790.0</v>
      </c>
    </row>
    <row r="296" ht="22.5" customHeight="1">
      <c r="A296" s="21">
        <v>45952.0</v>
      </c>
      <c r="B296" s="23">
        <v>63208.0</v>
      </c>
      <c r="C296" s="23">
        <v>968.0</v>
      </c>
      <c r="D296" s="24">
        <v>1339.0</v>
      </c>
      <c r="E296" s="25">
        <v>13.0</v>
      </c>
      <c r="F296" s="26">
        <v>1620.0</v>
      </c>
    </row>
    <row r="297" ht="22.5" customHeight="1">
      <c r="A297" s="21">
        <v>45953.0</v>
      </c>
      <c r="B297" s="23">
        <v>53761.0</v>
      </c>
      <c r="C297" s="23">
        <v>922.0</v>
      </c>
      <c r="D297" s="24">
        <v>911.0</v>
      </c>
      <c r="E297" s="25">
        <v>18.0</v>
      </c>
      <c r="F297" s="26">
        <v>3360.0</v>
      </c>
    </row>
    <row r="298" ht="22.5" customHeight="1">
      <c r="A298" s="21">
        <v>45954.0</v>
      </c>
      <c r="B298" s="23">
        <v>19823.0</v>
      </c>
      <c r="C298" s="23">
        <v>527.0</v>
      </c>
      <c r="D298" s="24">
        <v>638.0</v>
      </c>
      <c r="E298" s="25">
        <v>12.0</v>
      </c>
      <c r="F298" s="26">
        <v>1417.0</v>
      </c>
    </row>
    <row r="299" ht="22.5" customHeight="1">
      <c r="A299" s="21">
        <v>45955.0</v>
      </c>
      <c r="B299" s="23">
        <v>73157.0</v>
      </c>
      <c r="C299" s="23">
        <v>1205.0</v>
      </c>
      <c r="D299" s="24">
        <v>1749.0</v>
      </c>
      <c r="E299" s="25">
        <v>27.0</v>
      </c>
      <c r="F299" s="26">
        <v>3220.0</v>
      </c>
    </row>
    <row r="300" ht="22.5" customHeight="1">
      <c r="A300" s="21">
        <v>45956.0</v>
      </c>
      <c r="B300" s="23">
        <v>17151.0</v>
      </c>
      <c r="C300" s="23">
        <v>423.0</v>
      </c>
      <c r="D300" s="24">
        <v>500.0</v>
      </c>
      <c r="E300" s="25">
        <v>8.0</v>
      </c>
      <c r="F300" s="26">
        <v>1372.0</v>
      </c>
    </row>
    <row r="301" ht="22.5" customHeight="1">
      <c r="A301" s="21">
        <v>45957.0</v>
      </c>
      <c r="B301" s="23">
        <v>47443.0</v>
      </c>
      <c r="C301" s="23">
        <v>900.0</v>
      </c>
      <c r="D301" s="24">
        <v>972.0</v>
      </c>
      <c r="E301" s="25">
        <v>15.0</v>
      </c>
      <c r="F301" s="26">
        <v>2745.0</v>
      </c>
    </row>
    <row r="302" ht="22.5" customHeight="1">
      <c r="A302" s="21">
        <v>45958.0</v>
      </c>
      <c r="B302" s="23">
        <v>56847.0</v>
      </c>
      <c r="C302" s="23">
        <v>973.0</v>
      </c>
      <c r="D302" s="24">
        <v>1284.0</v>
      </c>
      <c r="E302" s="25">
        <v>23.0</v>
      </c>
      <c r="F302" s="26">
        <v>2908.0</v>
      </c>
    </row>
    <row r="303" ht="22.5" customHeight="1">
      <c r="A303" s="21">
        <v>45959.0</v>
      </c>
      <c r="B303" s="23">
        <v>103800.0</v>
      </c>
      <c r="C303" s="23">
        <v>1907.0</v>
      </c>
      <c r="D303" s="24">
        <v>3233.0</v>
      </c>
      <c r="E303" s="25">
        <v>33.0</v>
      </c>
      <c r="F303" s="26">
        <v>4563.0</v>
      </c>
    </row>
    <row r="304" ht="22.5" customHeight="1">
      <c r="A304" s="21">
        <v>45960.0</v>
      </c>
      <c r="B304" s="23">
        <v>61699.0</v>
      </c>
      <c r="C304" s="23">
        <v>1127.0</v>
      </c>
      <c r="D304" s="24">
        <v>1422.0</v>
      </c>
      <c r="E304" s="25">
        <v>21.0</v>
      </c>
      <c r="F304" s="26">
        <v>3905.0</v>
      </c>
    </row>
    <row r="305" ht="22.5" customHeight="1">
      <c r="A305" s="21">
        <v>45961.0</v>
      </c>
      <c r="B305" s="23">
        <v>43734.0</v>
      </c>
      <c r="C305" s="23">
        <v>1376.0</v>
      </c>
      <c r="D305" s="24">
        <v>2001.0</v>
      </c>
      <c r="E305" s="25">
        <v>30.0</v>
      </c>
      <c r="F305" s="26">
        <v>3837.0</v>
      </c>
    </row>
    <row r="306" ht="22.5" customHeight="1">
      <c r="A306" s="21">
        <v>45962.0</v>
      </c>
      <c r="B306" s="23">
        <v>18145.0</v>
      </c>
      <c r="C306" s="23">
        <v>433.0</v>
      </c>
      <c r="D306" s="24">
        <v>779.0</v>
      </c>
      <c r="E306" s="25">
        <v>8.0</v>
      </c>
      <c r="F306" s="26">
        <v>1310.0</v>
      </c>
    </row>
    <row r="307" ht="22.5" customHeight="1">
      <c r="A307" s="21">
        <v>45963.0</v>
      </c>
      <c r="B307" s="23">
        <v>95605.0</v>
      </c>
      <c r="C307" s="23">
        <v>1966.0</v>
      </c>
      <c r="D307" s="24">
        <v>2052.0</v>
      </c>
      <c r="E307" s="25">
        <v>26.0</v>
      </c>
      <c r="F307" s="26">
        <v>4689.0</v>
      </c>
    </row>
    <row r="308" ht="22.5" customHeight="1">
      <c r="A308" s="21">
        <v>45964.0</v>
      </c>
      <c r="B308" s="23">
        <v>12276.0</v>
      </c>
      <c r="C308" s="23">
        <v>203.0</v>
      </c>
      <c r="D308" s="24">
        <v>386.0</v>
      </c>
      <c r="E308" s="25">
        <v>4.0</v>
      </c>
      <c r="F308" s="26">
        <v>734.0</v>
      </c>
    </row>
    <row r="309" ht="22.5" customHeight="1">
      <c r="A309" s="21">
        <v>45965.0</v>
      </c>
      <c r="B309" s="23">
        <v>13289.0</v>
      </c>
      <c r="C309" s="23">
        <v>234.0</v>
      </c>
      <c r="D309" s="24">
        <v>450.0</v>
      </c>
      <c r="E309" s="25">
        <v>4.0</v>
      </c>
      <c r="F309" s="26">
        <v>521.0</v>
      </c>
    </row>
    <row r="310" ht="22.5" customHeight="1">
      <c r="A310" s="21">
        <v>45966.0</v>
      </c>
      <c r="B310" s="23">
        <v>20703.0</v>
      </c>
      <c r="C310" s="23">
        <v>541.0</v>
      </c>
      <c r="D310" s="24">
        <v>751.0</v>
      </c>
      <c r="E310" s="25">
        <v>10.0</v>
      </c>
      <c r="F310" s="26">
        <v>1573.0</v>
      </c>
    </row>
    <row r="311" ht="22.5" customHeight="1">
      <c r="A311" s="21">
        <v>45967.0</v>
      </c>
      <c r="B311" s="23">
        <v>91303.0</v>
      </c>
      <c r="C311" s="23">
        <v>2704.0</v>
      </c>
      <c r="D311" s="24">
        <v>2745.0</v>
      </c>
      <c r="E311" s="25">
        <v>63.0</v>
      </c>
      <c r="F311" s="26">
        <v>10292.0</v>
      </c>
    </row>
    <row r="312" ht="22.5" customHeight="1">
      <c r="A312" s="21">
        <v>45968.0</v>
      </c>
      <c r="B312" s="23">
        <v>35422.0</v>
      </c>
      <c r="C312" s="23">
        <v>643.0</v>
      </c>
      <c r="D312" s="24">
        <v>1117.0</v>
      </c>
      <c r="E312" s="25">
        <v>13.0</v>
      </c>
      <c r="F312" s="26">
        <v>1746.0</v>
      </c>
    </row>
    <row r="313" ht="22.5" customHeight="1">
      <c r="A313" s="21">
        <v>45969.0</v>
      </c>
      <c r="B313" s="23">
        <v>86793.0</v>
      </c>
      <c r="C313" s="23">
        <v>2282.0</v>
      </c>
      <c r="D313" s="24">
        <v>2545.0</v>
      </c>
      <c r="E313" s="25">
        <v>54.0</v>
      </c>
      <c r="F313" s="26">
        <v>8343.0</v>
      </c>
    </row>
    <row r="314" ht="22.5" customHeight="1">
      <c r="A314" s="21">
        <v>45970.0</v>
      </c>
      <c r="B314" s="23">
        <v>70545.0</v>
      </c>
      <c r="C314" s="23">
        <v>1622.0</v>
      </c>
      <c r="D314" s="24">
        <v>2471.0</v>
      </c>
      <c r="E314" s="25">
        <v>36.0</v>
      </c>
      <c r="F314" s="26">
        <v>6699.0</v>
      </c>
    </row>
    <row r="315" ht="22.5" customHeight="1">
      <c r="A315" s="21">
        <v>45971.0</v>
      </c>
      <c r="B315" s="23">
        <v>21885.0</v>
      </c>
      <c r="C315" s="23">
        <v>473.0</v>
      </c>
      <c r="D315" s="24">
        <v>577.0</v>
      </c>
      <c r="E315" s="25">
        <v>10.0</v>
      </c>
      <c r="F315" s="26">
        <v>1507.0</v>
      </c>
    </row>
    <row r="316" ht="22.5" customHeight="1">
      <c r="A316" s="21">
        <v>45972.0</v>
      </c>
      <c r="B316" s="23">
        <v>34153.0</v>
      </c>
      <c r="C316" s="23">
        <v>443.0</v>
      </c>
      <c r="D316" s="24">
        <v>377.0</v>
      </c>
      <c r="E316" s="25">
        <v>9.0</v>
      </c>
      <c r="F316" s="26">
        <v>1448.0</v>
      </c>
    </row>
    <row r="317" ht="22.5" customHeight="1">
      <c r="A317" s="21">
        <v>45973.0</v>
      </c>
      <c r="B317" s="23">
        <v>55954.0</v>
      </c>
      <c r="C317" s="23">
        <v>717.0</v>
      </c>
      <c r="D317" s="24">
        <v>1400.0</v>
      </c>
      <c r="E317" s="25">
        <v>14.0</v>
      </c>
      <c r="F317" s="26">
        <v>2880.0</v>
      </c>
    </row>
    <row r="318" ht="22.5" customHeight="1">
      <c r="A318" s="21">
        <v>45974.0</v>
      </c>
      <c r="B318" s="23">
        <v>101056.0</v>
      </c>
      <c r="C318" s="23">
        <v>2456.0</v>
      </c>
      <c r="D318" s="24">
        <v>2655.0</v>
      </c>
      <c r="E318" s="25">
        <v>30.0</v>
      </c>
      <c r="F318" s="26">
        <v>3577.0</v>
      </c>
    </row>
    <row r="319" ht="22.5" customHeight="1">
      <c r="A319" s="21">
        <v>45975.0</v>
      </c>
      <c r="B319" s="23">
        <v>78238.0</v>
      </c>
      <c r="C319" s="23">
        <v>1221.0</v>
      </c>
      <c r="D319" s="24">
        <v>2048.0</v>
      </c>
      <c r="E319" s="25">
        <v>19.0</v>
      </c>
      <c r="F319" s="26">
        <v>2874.0</v>
      </c>
    </row>
    <row r="320" ht="22.5" customHeight="1">
      <c r="A320" s="21">
        <v>45976.0</v>
      </c>
      <c r="B320" s="23">
        <v>73143.0</v>
      </c>
      <c r="C320" s="23">
        <v>1265.0</v>
      </c>
      <c r="D320" s="24">
        <v>1357.0</v>
      </c>
      <c r="E320" s="25">
        <v>18.0</v>
      </c>
      <c r="F320" s="26">
        <v>2304.0</v>
      </c>
    </row>
    <row r="321" ht="22.5" customHeight="1">
      <c r="A321" s="21">
        <v>45977.0</v>
      </c>
      <c r="B321" s="23">
        <v>59011.0</v>
      </c>
      <c r="C321" s="23">
        <v>529.0</v>
      </c>
      <c r="D321" s="24">
        <v>751.0</v>
      </c>
      <c r="E321" s="25">
        <v>12.0</v>
      </c>
      <c r="F321" s="26">
        <v>1595.0</v>
      </c>
    </row>
    <row r="322" ht="22.5" customHeight="1">
      <c r="A322" s="21">
        <v>45978.0</v>
      </c>
      <c r="B322" s="23">
        <v>68100.0</v>
      </c>
      <c r="C322" s="23">
        <v>1984.0</v>
      </c>
      <c r="D322" s="24">
        <v>2552.0</v>
      </c>
      <c r="E322" s="25">
        <v>50.0</v>
      </c>
      <c r="F322" s="26">
        <v>7546.0</v>
      </c>
    </row>
    <row r="323" ht="22.5" customHeight="1">
      <c r="A323" s="21">
        <v>45979.0</v>
      </c>
      <c r="B323" s="23">
        <v>72521.0</v>
      </c>
      <c r="C323" s="23">
        <v>977.0</v>
      </c>
      <c r="D323" s="24">
        <v>1649.0</v>
      </c>
      <c r="E323" s="25">
        <v>24.0</v>
      </c>
      <c r="F323" s="26">
        <v>3333.0</v>
      </c>
    </row>
    <row r="324" ht="22.5" customHeight="1">
      <c r="A324" s="21">
        <v>45980.0</v>
      </c>
      <c r="B324" s="23">
        <v>61360.0</v>
      </c>
      <c r="C324" s="23">
        <v>783.0</v>
      </c>
      <c r="D324" s="24">
        <v>1327.0</v>
      </c>
      <c r="E324" s="25">
        <v>11.0</v>
      </c>
      <c r="F324" s="26">
        <v>1757.0</v>
      </c>
    </row>
    <row r="325" ht="22.5" customHeight="1">
      <c r="A325" s="21">
        <v>45981.0</v>
      </c>
      <c r="B325" s="23">
        <v>79103.0</v>
      </c>
      <c r="C325" s="23">
        <v>1466.0</v>
      </c>
      <c r="D325" s="24">
        <v>1778.0</v>
      </c>
      <c r="E325" s="25">
        <v>32.0</v>
      </c>
      <c r="F325" s="26">
        <v>6269.0</v>
      </c>
    </row>
    <row r="326" ht="22.5" customHeight="1">
      <c r="A326" s="21">
        <v>45982.0</v>
      </c>
      <c r="B326" s="23">
        <v>24707.0</v>
      </c>
      <c r="C326" s="23">
        <v>282.0</v>
      </c>
      <c r="D326" s="24">
        <v>415.0</v>
      </c>
      <c r="E326" s="25">
        <v>6.0</v>
      </c>
      <c r="F326" s="26">
        <v>1119.0</v>
      </c>
    </row>
    <row r="327" ht="22.5" customHeight="1">
      <c r="A327" s="21">
        <v>45983.0</v>
      </c>
      <c r="B327" s="23">
        <v>90610.0</v>
      </c>
      <c r="C327" s="23">
        <v>2321.0</v>
      </c>
      <c r="D327" s="24">
        <v>3228.0</v>
      </c>
      <c r="E327" s="25">
        <v>37.0</v>
      </c>
      <c r="F327" s="26">
        <v>3925.0</v>
      </c>
    </row>
    <row r="328" ht="22.5" customHeight="1">
      <c r="A328" s="21">
        <v>45984.0</v>
      </c>
      <c r="B328" s="23">
        <v>65307.0</v>
      </c>
      <c r="C328" s="23">
        <v>784.0</v>
      </c>
      <c r="D328" s="24">
        <v>1151.0</v>
      </c>
      <c r="E328" s="25">
        <v>9.0</v>
      </c>
      <c r="F328" s="26">
        <v>1626.0</v>
      </c>
    </row>
    <row r="329" ht="22.5" customHeight="1">
      <c r="A329" s="21">
        <v>45985.0</v>
      </c>
      <c r="B329" s="23">
        <v>48991.0</v>
      </c>
      <c r="C329" s="23">
        <v>743.0</v>
      </c>
      <c r="D329" s="24">
        <v>1302.0</v>
      </c>
      <c r="E329" s="25">
        <v>10.0</v>
      </c>
      <c r="F329" s="26">
        <v>1484.0</v>
      </c>
    </row>
    <row r="330" ht="22.5" customHeight="1">
      <c r="A330" s="21">
        <v>45986.0</v>
      </c>
      <c r="B330" s="23">
        <v>17772.0</v>
      </c>
      <c r="C330" s="23">
        <v>225.0</v>
      </c>
      <c r="D330" s="24">
        <v>350.0</v>
      </c>
      <c r="E330" s="25">
        <v>3.0</v>
      </c>
      <c r="F330" s="26">
        <v>592.0</v>
      </c>
    </row>
    <row r="331" ht="22.5" customHeight="1">
      <c r="A331" s="21">
        <v>45987.0</v>
      </c>
      <c r="B331" s="23">
        <v>15340.0</v>
      </c>
      <c r="C331" s="23">
        <v>161.0</v>
      </c>
      <c r="D331" s="24">
        <v>304.0</v>
      </c>
      <c r="E331" s="25">
        <v>3.0</v>
      </c>
      <c r="F331" s="26">
        <v>430.0</v>
      </c>
    </row>
    <row r="332" ht="22.5" customHeight="1">
      <c r="A332" s="21">
        <v>45988.0</v>
      </c>
      <c r="B332" s="23">
        <v>14040.0</v>
      </c>
      <c r="C332" s="23">
        <v>235.0</v>
      </c>
      <c r="D332" s="24">
        <v>370.0</v>
      </c>
      <c r="E332" s="25">
        <v>3.0</v>
      </c>
      <c r="F332" s="26">
        <v>586.0</v>
      </c>
    </row>
    <row r="333" ht="22.5" customHeight="1">
      <c r="A333" s="21">
        <v>45989.0</v>
      </c>
      <c r="B333" s="23">
        <v>76119.0</v>
      </c>
      <c r="C333" s="23">
        <v>1764.0</v>
      </c>
      <c r="D333" s="24">
        <v>3154.0</v>
      </c>
      <c r="E333" s="25">
        <v>22.0</v>
      </c>
      <c r="F333" s="26">
        <v>2812.0</v>
      </c>
    </row>
    <row r="334" ht="22.5" customHeight="1">
      <c r="A334" s="21">
        <v>45990.0</v>
      </c>
      <c r="B334" s="23">
        <v>27517.0</v>
      </c>
      <c r="C334" s="23">
        <v>702.0</v>
      </c>
      <c r="D334" s="24">
        <v>1088.0</v>
      </c>
      <c r="E334" s="25">
        <v>10.0</v>
      </c>
      <c r="F334" s="26">
        <v>1905.0</v>
      </c>
    </row>
    <row r="335" ht="22.5" customHeight="1">
      <c r="A335" s="21">
        <v>45991.0</v>
      </c>
      <c r="B335" s="23">
        <v>38969.0</v>
      </c>
      <c r="C335" s="23">
        <v>1025.0</v>
      </c>
      <c r="D335" s="24">
        <v>1451.0</v>
      </c>
      <c r="E335" s="25">
        <v>17.0</v>
      </c>
      <c r="F335" s="26">
        <v>2868.0</v>
      </c>
    </row>
    <row r="336" ht="22.5" customHeight="1">
      <c r="A336" s="21">
        <v>45992.0</v>
      </c>
      <c r="B336" s="23">
        <v>106305.0</v>
      </c>
      <c r="C336" s="23">
        <v>2531.0</v>
      </c>
      <c r="D336" s="24">
        <v>2905.0</v>
      </c>
      <c r="E336" s="25">
        <v>31.0</v>
      </c>
      <c r="F336" s="26">
        <v>5833.0</v>
      </c>
    </row>
    <row r="337" ht="22.5" customHeight="1">
      <c r="A337" s="21">
        <v>45993.0</v>
      </c>
      <c r="B337" s="23">
        <v>86838.0</v>
      </c>
      <c r="C337" s="23">
        <v>1805.0</v>
      </c>
      <c r="D337" s="24">
        <v>2577.0</v>
      </c>
      <c r="E337" s="25">
        <v>37.0</v>
      </c>
      <c r="F337" s="26">
        <v>6574.0</v>
      </c>
    </row>
    <row r="338" ht="22.5" customHeight="1">
      <c r="A338" s="21">
        <v>45994.0</v>
      </c>
      <c r="B338" s="23">
        <v>63290.0</v>
      </c>
      <c r="C338" s="23">
        <v>730.0</v>
      </c>
      <c r="D338" s="24">
        <v>1257.0</v>
      </c>
      <c r="E338" s="25">
        <v>12.0</v>
      </c>
      <c r="F338" s="26">
        <v>2476.0</v>
      </c>
    </row>
    <row r="339" ht="22.5" customHeight="1">
      <c r="A339" s="21">
        <v>45995.0</v>
      </c>
      <c r="B339" s="23">
        <v>110538.0</v>
      </c>
      <c r="C339" s="23">
        <v>2668.0</v>
      </c>
      <c r="D339" s="24">
        <v>5060.0</v>
      </c>
      <c r="E339" s="25">
        <v>66.0</v>
      </c>
      <c r="F339" s="26">
        <v>11025.0</v>
      </c>
    </row>
    <row r="340" ht="22.5" customHeight="1">
      <c r="A340" s="21">
        <v>45996.0</v>
      </c>
      <c r="B340" s="23">
        <v>78543.0</v>
      </c>
      <c r="C340" s="23">
        <v>749.0</v>
      </c>
      <c r="D340" s="24">
        <v>1211.0</v>
      </c>
      <c r="E340" s="25">
        <v>17.0</v>
      </c>
      <c r="F340" s="26">
        <v>2394.0</v>
      </c>
    </row>
    <row r="341" ht="22.5" customHeight="1">
      <c r="A341" s="21">
        <v>45997.0</v>
      </c>
      <c r="B341" s="23">
        <v>51464.0</v>
      </c>
      <c r="C341" s="23">
        <v>1626.0</v>
      </c>
      <c r="D341" s="24">
        <v>2787.0</v>
      </c>
      <c r="E341" s="25">
        <v>22.0</v>
      </c>
      <c r="F341" s="26">
        <v>4551.0</v>
      </c>
    </row>
    <row r="342" ht="22.5" customHeight="1">
      <c r="A342" s="21">
        <v>45998.0</v>
      </c>
      <c r="B342" s="23">
        <v>69466.0</v>
      </c>
      <c r="C342" s="23">
        <v>1623.0</v>
      </c>
      <c r="D342" s="24">
        <v>2087.0</v>
      </c>
      <c r="E342" s="25">
        <v>31.0</v>
      </c>
      <c r="F342" s="26">
        <v>4149.0</v>
      </c>
    </row>
    <row r="343" ht="22.5" customHeight="1">
      <c r="A343" s="21">
        <v>45999.0</v>
      </c>
      <c r="B343" s="23">
        <v>104688.0</v>
      </c>
      <c r="C343" s="23">
        <v>1635.0</v>
      </c>
      <c r="D343" s="24">
        <v>3452.0</v>
      </c>
      <c r="E343" s="25">
        <v>29.0</v>
      </c>
      <c r="F343" s="26">
        <v>5835.0</v>
      </c>
    </row>
    <row r="344" ht="22.5" customHeight="1">
      <c r="A344" s="21">
        <v>46000.0</v>
      </c>
      <c r="B344" s="23">
        <v>75437.0</v>
      </c>
      <c r="C344" s="23">
        <v>1700.0</v>
      </c>
      <c r="D344" s="24">
        <v>2936.0</v>
      </c>
      <c r="E344" s="25">
        <v>38.0</v>
      </c>
      <c r="F344" s="26">
        <v>5132.0</v>
      </c>
    </row>
    <row r="345" ht="22.5" customHeight="1">
      <c r="A345" s="21">
        <v>46001.0</v>
      </c>
      <c r="B345" s="23">
        <v>45951.0</v>
      </c>
      <c r="C345" s="23">
        <v>906.0</v>
      </c>
      <c r="D345" s="24">
        <v>1458.0</v>
      </c>
      <c r="E345" s="25">
        <v>11.0</v>
      </c>
      <c r="F345" s="26">
        <v>1636.0</v>
      </c>
    </row>
    <row r="346" ht="22.5" customHeight="1">
      <c r="A346" s="21">
        <v>46002.0</v>
      </c>
      <c r="B346" s="23">
        <v>67590.0</v>
      </c>
      <c r="C346" s="23">
        <v>712.0</v>
      </c>
      <c r="D346" s="24">
        <v>1535.0</v>
      </c>
      <c r="E346" s="25">
        <v>9.0</v>
      </c>
      <c r="F346" s="26">
        <v>1779.0</v>
      </c>
    </row>
    <row r="347" ht="22.5" customHeight="1">
      <c r="A347" s="21">
        <v>46003.0</v>
      </c>
      <c r="B347" s="23">
        <v>34901.0</v>
      </c>
      <c r="C347" s="23">
        <v>345.0</v>
      </c>
      <c r="D347" s="24">
        <v>630.0</v>
      </c>
      <c r="E347" s="25">
        <v>4.0</v>
      </c>
      <c r="F347" s="26">
        <v>603.0</v>
      </c>
    </row>
    <row r="348" ht="22.5" customHeight="1">
      <c r="A348" s="21">
        <v>46004.0</v>
      </c>
      <c r="B348" s="23">
        <v>117250.0</v>
      </c>
      <c r="C348" s="23">
        <v>2341.0</v>
      </c>
      <c r="D348" s="24">
        <v>3446.0</v>
      </c>
      <c r="E348" s="25">
        <v>45.0</v>
      </c>
      <c r="F348" s="26">
        <v>6394.0</v>
      </c>
    </row>
    <row r="349" ht="22.5" customHeight="1">
      <c r="A349" s="21">
        <v>46005.0</v>
      </c>
      <c r="B349" s="23">
        <v>23580.0</v>
      </c>
      <c r="C349" s="23">
        <v>690.0</v>
      </c>
      <c r="D349" s="24">
        <v>1219.0</v>
      </c>
      <c r="E349" s="25">
        <v>12.0</v>
      </c>
      <c r="F349" s="26">
        <v>1969.0</v>
      </c>
    </row>
    <row r="350" ht="22.5" customHeight="1">
      <c r="A350" s="21">
        <v>46006.0</v>
      </c>
      <c r="B350" s="23">
        <v>118209.0</v>
      </c>
      <c r="C350" s="23">
        <v>3022.0</v>
      </c>
      <c r="D350" s="24">
        <v>4503.0</v>
      </c>
      <c r="E350" s="25">
        <v>55.0</v>
      </c>
      <c r="F350" s="26">
        <v>6257.0</v>
      </c>
    </row>
    <row r="351" ht="22.5" customHeight="1">
      <c r="A351" s="21">
        <v>46007.0</v>
      </c>
      <c r="B351" s="23">
        <v>88263.0</v>
      </c>
      <c r="C351" s="23">
        <v>2247.0</v>
      </c>
      <c r="D351" s="24">
        <v>2807.0</v>
      </c>
      <c r="E351" s="25">
        <v>54.0</v>
      </c>
      <c r="F351" s="26">
        <v>10718.0</v>
      </c>
    </row>
    <row r="352" ht="22.5" customHeight="1">
      <c r="A352" s="21">
        <v>46008.0</v>
      </c>
      <c r="B352" s="23">
        <v>47023.0</v>
      </c>
      <c r="C352" s="23">
        <v>740.0</v>
      </c>
      <c r="D352" s="24">
        <v>1013.0</v>
      </c>
      <c r="E352" s="25">
        <v>9.0</v>
      </c>
      <c r="F352" s="26">
        <v>1798.0</v>
      </c>
    </row>
    <row r="353" ht="22.5" customHeight="1">
      <c r="A353" s="21">
        <v>46009.0</v>
      </c>
      <c r="B353" s="23">
        <v>92320.0</v>
      </c>
      <c r="C353" s="23">
        <v>1798.0</v>
      </c>
      <c r="D353" s="24">
        <v>2881.0</v>
      </c>
      <c r="E353" s="25">
        <v>30.0</v>
      </c>
      <c r="F353" s="26">
        <v>5413.0</v>
      </c>
    </row>
    <row r="354" ht="22.5" customHeight="1">
      <c r="A354" s="21">
        <v>46010.0</v>
      </c>
      <c r="B354" s="23">
        <v>75577.0</v>
      </c>
      <c r="C354" s="23">
        <v>2223.0</v>
      </c>
      <c r="D354" s="24">
        <v>4012.0</v>
      </c>
      <c r="E354" s="25">
        <v>35.0</v>
      </c>
      <c r="F354" s="26">
        <v>4791.0</v>
      </c>
    </row>
    <row r="355" ht="22.5" customHeight="1">
      <c r="A355" s="21">
        <v>46011.0</v>
      </c>
      <c r="B355" s="23">
        <v>97231.0</v>
      </c>
      <c r="C355" s="23">
        <v>2509.0</v>
      </c>
      <c r="D355" s="24">
        <v>3337.0</v>
      </c>
      <c r="E355" s="25">
        <v>37.0</v>
      </c>
      <c r="F355" s="26">
        <v>6166.0</v>
      </c>
    </row>
    <row r="356" ht="22.5" customHeight="1">
      <c r="A356" s="21">
        <v>46012.0</v>
      </c>
      <c r="B356" s="23">
        <v>22728.0</v>
      </c>
      <c r="C356" s="23">
        <v>263.0</v>
      </c>
      <c r="D356" s="24">
        <v>395.0</v>
      </c>
      <c r="E356" s="25">
        <v>4.0</v>
      </c>
      <c r="F356" s="26">
        <v>799.0</v>
      </c>
    </row>
    <row r="357" ht="22.5" customHeight="1">
      <c r="A357" s="21">
        <v>46013.0</v>
      </c>
      <c r="B357" s="23">
        <v>67243.0</v>
      </c>
      <c r="C357" s="23">
        <v>1130.0</v>
      </c>
      <c r="D357" s="24">
        <v>1306.0</v>
      </c>
      <c r="E357" s="25">
        <v>16.0</v>
      </c>
      <c r="F357" s="26">
        <v>1960.0</v>
      </c>
    </row>
    <row r="358" ht="22.5" customHeight="1">
      <c r="A358" s="21">
        <v>46014.0</v>
      </c>
      <c r="B358" s="23">
        <v>68598.0</v>
      </c>
      <c r="C358" s="23">
        <v>798.0</v>
      </c>
      <c r="D358" s="24">
        <v>1184.0</v>
      </c>
      <c r="E358" s="25">
        <v>16.0</v>
      </c>
      <c r="F358" s="26">
        <v>3076.0</v>
      </c>
    </row>
    <row r="359" ht="22.5" customHeight="1">
      <c r="A359" s="21">
        <v>46015.0</v>
      </c>
      <c r="B359" s="23">
        <v>72214.0</v>
      </c>
      <c r="C359" s="23">
        <v>1685.0</v>
      </c>
      <c r="D359" s="24">
        <v>2161.0</v>
      </c>
      <c r="E359" s="25">
        <v>32.0</v>
      </c>
      <c r="F359" s="26">
        <v>4583.0</v>
      </c>
    </row>
    <row r="360" ht="22.5" customHeight="1">
      <c r="A360" s="21">
        <v>46016.0</v>
      </c>
      <c r="B360" s="23">
        <v>101958.0</v>
      </c>
      <c r="C360" s="23">
        <v>1375.0</v>
      </c>
      <c r="D360" s="24">
        <v>1523.0</v>
      </c>
      <c r="E360" s="25">
        <v>22.0</v>
      </c>
      <c r="F360" s="26">
        <v>3095.0</v>
      </c>
    </row>
    <row r="361" ht="22.5" customHeight="1">
      <c r="A361" s="21">
        <v>46017.0</v>
      </c>
      <c r="B361" s="23">
        <v>28717.0</v>
      </c>
      <c r="C361" s="23">
        <v>590.0</v>
      </c>
      <c r="D361" s="24">
        <v>642.0</v>
      </c>
      <c r="E361" s="25">
        <v>8.0</v>
      </c>
      <c r="F361" s="26">
        <v>1397.0</v>
      </c>
    </row>
    <row r="362" ht="22.5" customHeight="1">
      <c r="A362" s="21">
        <v>46018.0</v>
      </c>
      <c r="B362" s="23">
        <v>98027.0</v>
      </c>
      <c r="C362" s="23">
        <v>2342.0</v>
      </c>
      <c r="D362" s="24">
        <v>2389.0</v>
      </c>
      <c r="E362" s="25">
        <v>27.0</v>
      </c>
      <c r="F362" s="26">
        <v>5010.0</v>
      </c>
    </row>
    <row r="363" ht="22.5" customHeight="1">
      <c r="A363" s="21">
        <v>46019.0</v>
      </c>
      <c r="B363" s="23">
        <v>93487.0</v>
      </c>
      <c r="C363" s="23">
        <v>2371.0</v>
      </c>
      <c r="D363" s="24">
        <v>4002.0</v>
      </c>
      <c r="E363" s="25">
        <v>42.0</v>
      </c>
      <c r="F363" s="26">
        <v>6751.0</v>
      </c>
    </row>
    <row r="364" ht="22.5" customHeight="1">
      <c r="A364" s="21">
        <v>46020.0</v>
      </c>
      <c r="B364" s="23">
        <v>56358.0</v>
      </c>
      <c r="C364" s="23">
        <v>1127.0</v>
      </c>
      <c r="D364" s="24">
        <v>1266.0</v>
      </c>
      <c r="E364" s="25">
        <v>15.0</v>
      </c>
      <c r="F364" s="26">
        <v>1626.0</v>
      </c>
    </row>
    <row r="365" ht="22.5" customHeight="1">
      <c r="A365" s="21">
        <v>46021.0</v>
      </c>
      <c r="B365" s="23">
        <v>46415.0</v>
      </c>
      <c r="C365" s="23">
        <v>1176.0</v>
      </c>
      <c r="D365" s="24">
        <v>1755.0</v>
      </c>
      <c r="E365" s="25">
        <v>23.0</v>
      </c>
      <c r="F365" s="26">
        <v>3770.0</v>
      </c>
    </row>
    <row r="366" ht="22.5" customHeight="1">
      <c r="A366" s="21">
        <v>46022.0</v>
      </c>
      <c r="B366" s="23">
        <v>83988.0</v>
      </c>
      <c r="C366" s="23">
        <v>2183.0</v>
      </c>
      <c r="D366" s="24">
        <v>2219.0</v>
      </c>
      <c r="E366" s="25">
        <v>41.0</v>
      </c>
      <c r="F366" s="26">
        <v>5949.0</v>
      </c>
    </row>
  </sheetData>
  <dataValidations>
    <dataValidation type="custom" allowBlank="1" showDropDown="1" sqref="A2:A366">
      <formula1>OR(NOT(ISERROR(DATEVALUE(A2))), AND(ISNUMBER(A2), LEFT(CELL("format", A2))="D"))</formula1>
    </dataValidation>
    <dataValidation type="custom" allowBlank="1" showDropDown="1" sqref="B2:F36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" t="s">
        <v>0</v>
      </c>
      <c r="B1" s="3" t="s">
        <v>2</v>
      </c>
      <c r="C1" s="3" t="s">
        <v>3</v>
      </c>
      <c r="D1" s="4" t="s">
        <v>4</v>
      </c>
      <c r="E1" s="3" t="s">
        <v>6</v>
      </c>
      <c r="F1" s="4" t="s">
        <v>7</v>
      </c>
      <c r="G1" s="4" t="s">
        <v>9</v>
      </c>
      <c r="H1" s="1" t="s">
        <v>10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1.0</v>
      </c>
      <c r="B2" s="12">
        <f>SUMIF('IG Performance Metrics'!B:B, A2, 'IG Performance Metrics'!C:C)</f>
        <v>1720107</v>
      </c>
      <c r="C2" s="12">
        <f>SUMIF('IG Performance Metrics'!B:B, A2, 'IG Performance Metrics'!E:E)</f>
        <v>32172</v>
      </c>
      <c r="D2" s="13">
        <f>SUMIF('IG Performance Metrics'!B:B, A2, 'IG Performance Metrics'!H:H)</f>
        <v>48783</v>
      </c>
      <c r="E2" s="12">
        <f>SUMIF('IG Performance Metrics'!B:B, A2, 'IG Performance Metrics'!J:J)</f>
        <v>599</v>
      </c>
      <c r="F2" s="13">
        <f>SUMIF('IG Performance Metrics'!B:B, A2, 'IG Performance Metrics'!L:L)</f>
        <v>99008</v>
      </c>
      <c r="G2" s="13">
        <f t="shared" ref="G2:G13" si="1">F2/E2</f>
        <v>165.2888147</v>
      </c>
      <c r="H2" s="20">
        <f t="shared" ref="H2:H13" si="2">F2/D2</f>
        <v>2.029559478</v>
      </c>
    </row>
    <row r="3">
      <c r="A3" s="8">
        <v>2.0</v>
      </c>
      <c r="B3" s="12">
        <f>SUMIF('IG Performance Metrics'!B:B, A3, 'IG Performance Metrics'!C:C)</f>
        <v>1557121</v>
      </c>
      <c r="C3" s="12">
        <f>SUMIF('IG Performance Metrics'!B:B, A3, 'IG Performance Metrics'!E:E)</f>
        <v>31502</v>
      </c>
      <c r="D3" s="13">
        <f>SUMIF('IG Performance Metrics'!B:B, A3, 'IG Performance Metrics'!H:H)</f>
        <v>47406</v>
      </c>
      <c r="E3" s="12">
        <f>SUMIF('IG Performance Metrics'!B:B, A3, 'IG Performance Metrics'!J:J)</f>
        <v>546</v>
      </c>
      <c r="F3" s="13">
        <f>SUMIF('IG Performance Metrics'!B:B, A3, 'IG Performance Metrics'!L:L)</f>
        <v>92767</v>
      </c>
      <c r="G3" s="13">
        <f t="shared" si="1"/>
        <v>169.9029304</v>
      </c>
      <c r="H3" s="20">
        <f t="shared" si="2"/>
        <v>1.956862001</v>
      </c>
    </row>
    <row r="4">
      <c r="A4" s="8">
        <v>3.0</v>
      </c>
      <c r="B4" s="12">
        <f>SUMIF('IG Performance Metrics'!B:B, A4, 'IG Performance Metrics'!C:C)</f>
        <v>1570479</v>
      </c>
      <c r="C4" s="12">
        <f>SUMIF('IG Performance Metrics'!B:B, A4, 'IG Performance Metrics'!E:E)</f>
        <v>31937</v>
      </c>
      <c r="D4" s="13">
        <f>SUMIF('IG Performance Metrics'!B:B, A4, 'IG Performance Metrics'!H:H)</f>
        <v>45220</v>
      </c>
      <c r="E4" s="12">
        <f>SUMIF('IG Performance Metrics'!B:B, A4, 'IG Performance Metrics'!J:J)</f>
        <v>610</v>
      </c>
      <c r="F4" s="13">
        <f>SUMIF('IG Performance Metrics'!B:B, A4, 'IG Performance Metrics'!L:L)</f>
        <v>91252</v>
      </c>
      <c r="G4" s="13">
        <f t="shared" si="1"/>
        <v>149.5934426</v>
      </c>
      <c r="H4" s="20">
        <f t="shared" si="2"/>
        <v>2.017956656</v>
      </c>
    </row>
    <row r="5">
      <c r="A5" s="8">
        <v>4.0</v>
      </c>
      <c r="B5" s="12">
        <f>SUMIF('IG Performance Metrics'!B:B, A5, 'IG Performance Metrics'!C:C)</f>
        <v>1921842</v>
      </c>
      <c r="C5" s="12">
        <f>SUMIF('IG Performance Metrics'!B:B, A5, 'IG Performance Metrics'!E:E)</f>
        <v>37631</v>
      </c>
      <c r="D5" s="13">
        <f>SUMIF('IG Performance Metrics'!B:B, A5, 'IG Performance Metrics'!H:H)</f>
        <v>59285</v>
      </c>
      <c r="E5" s="12">
        <f>SUMIF('IG Performance Metrics'!B:B, A5, 'IG Performance Metrics'!J:J)</f>
        <v>717</v>
      </c>
      <c r="F5" s="13">
        <f>SUMIF('IG Performance Metrics'!B:B, A5, 'IG Performance Metrics'!L:L)</f>
        <v>112373</v>
      </c>
      <c r="G5" s="13">
        <f t="shared" si="1"/>
        <v>156.7266388</v>
      </c>
      <c r="H5" s="20">
        <f t="shared" si="2"/>
        <v>1.89547103</v>
      </c>
    </row>
    <row r="6">
      <c r="A6" s="8">
        <v>5.0</v>
      </c>
      <c r="B6" s="12">
        <f>SUMIF('IG Performance Metrics'!B:B, A6, 'IG Performance Metrics'!C:C)</f>
        <v>1828461</v>
      </c>
      <c r="C6" s="12">
        <f>SUMIF('IG Performance Metrics'!B:B, A6, 'IG Performance Metrics'!E:E)</f>
        <v>36388</v>
      </c>
      <c r="D6" s="13">
        <f>SUMIF('IG Performance Metrics'!B:B, A6, 'IG Performance Metrics'!H:H)</f>
        <v>57348</v>
      </c>
      <c r="E6" s="12">
        <f>SUMIF('IG Performance Metrics'!B:B, A6, 'IG Performance Metrics'!J:J)</f>
        <v>702</v>
      </c>
      <c r="F6" s="13">
        <f>SUMIF('IG Performance Metrics'!B:B, A6, 'IG Performance Metrics'!L:L)</f>
        <v>106927</v>
      </c>
      <c r="G6" s="13">
        <f t="shared" si="1"/>
        <v>152.3176638</v>
      </c>
      <c r="H6" s="20">
        <f t="shared" si="2"/>
        <v>1.864528841</v>
      </c>
    </row>
    <row r="7">
      <c r="A7" s="8">
        <v>6.0</v>
      </c>
      <c r="B7" s="12">
        <f>SUMIF('IG Performance Metrics'!B:B, A7, 'IG Performance Metrics'!C:C)</f>
        <v>1704404</v>
      </c>
      <c r="C7" s="12">
        <f>SUMIF('IG Performance Metrics'!B:B, A7, 'IG Performance Metrics'!E:E)</f>
        <v>36581</v>
      </c>
      <c r="D7" s="13">
        <f>SUMIF('IG Performance Metrics'!B:B, A7, 'IG Performance Metrics'!H:H)</f>
        <v>56754</v>
      </c>
      <c r="E7" s="12">
        <f>SUMIF('IG Performance Metrics'!B:B, A7, 'IG Performance Metrics'!J:J)</f>
        <v>716</v>
      </c>
      <c r="F7" s="13">
        <f>SUMIF('IG Performance Metrics'!B:B, A7, 'IG Performance Metrics'!L:L)</f>
        <v>113329</v>
      </c>
      <c r="G7" s="13">
        <f t="shared" si="1"/>
        <v>158.2807263</v>
      </c>
      <c r="H7" s="20">
        <f t="shared" si="2"/>
        <v>1.996846037</v>
      </c>
    </row>
    <row r="8">
      <c r="A8" s="8">
        <v>7.0</v>
      </c>
      <c r="B8" s="12">
        <f>SUMIF('IG Performance Metrics'!B:B, A8, 'IG Performance Metrics'!C:C)</f>
        <v>1631972</v>
      </c>
      <c r="C8" s="12">
        <f>SUMIF('IG Performance Metrics'!B:B, A8, 'IG Performance Metrics'!E:E)</f>
        <v>35440</v>
      </c>
      <c r="D8" s="13">
        <f>SUMIF('IG Performance Metrics'!B:B, A8, 'IG Performance Metrics'!H:H)</f>
        <v>54023</v>
      </c>
      <c r="E8" s="12">
        <f>SUMIF('IG Performance Metrics'!B:B, A8, 'IG Performance Metrics'!J:J)</f>
        <v>635</v>
      </c>
      <c r="F8" s="13">
        <f>SUMIF('IG Performance Metrics'!B:B, A8, 'IG Performance Metrics'!L:L)</f>
        <v>95572</v>
      </c>
      <c r="G8" s="13">
        <f t="shared" si="1"/>
        <v>150.5070866</v>
      </c>
      <c r="H8" s="20">
        <f t="shared" si="2"/>
        <v>1.769098347</v>
      </c>
    </row>
    <row r="9">
      <c r="A9" s="8">
        <v>8.0</v>
      </c>
      <c r="B9" s="12">
        <f>SUMIF('IG Performance Metrics'!B:B, A9, 'IG Performance Metrics'!C:C)</f>
        <v>1673314</v>
      </c>
      <c r="C9" s="12">
        <f>SUMIF('IG Performance Metrics'!B:B, A9, 'IG Performance Metrics'!E:E)</f>
        <v>32435</v>
      </c>
      <c r="D9" s="13">
        <f>SUMIF('IG Performance Metrics'!B:B, A9, 'IG Performance Metrics'!H:H)</f>
        <v>50112</v>
      </c>
      <c r="E9" s="12">
        <f>SUMIF('IG Performance Metrics'!B:B, A9, 'IG Performance Metrics'!J:J)</f>
        <v>590</v>
      </c>
      <c r="F9" s="13">
        <f>SUMIF('IG Performance Metrics'!B:B, A9, 'IG Performance Metrics'!L:L)</f>
        <v>89404</v>
      </c>
      <c r="G9" s="13">
        <f t="shared" si="1"/>
        <v>151.5322034</v>
      </c>
      <c r="H9" s="20">
        <f t="shared" si="2"/>
        <v>1.784083653</v>
      </c>
    </row>
    <row r="10">
      <c r="A10" s="8">
        <v>9.0</v>
      </c>
      <c r="B10" s="12">
        <f>SUMIF('IG Performance Metrics'!B:B, A10, 'IG Performance Metrics'!C:C)</f>
        <v>1486196</v>
      </c>
      <c r="C10" s="12">
        <f>SUMIF('IG Performance Metrics'!B:B, A10, 'IG Performance Metrics'!E:E)</f>
        <v>28665</v>
      </c>
      <c r="D10" s="13">
        <f>SUMIF('IG Performance Metrics'!B:B, A10, 'IG Performance Metrics'!H:H)</f>
        <v>43521</v>
      </c>
      <c r="E10" s="12">
        <f>SUMIF('IG Performance Metrics'!B:B, A10, 'IG Performance Metrics'!J:J)</f>
        <v>551</v>
      </c>
      <c r="F10" s="13">
        <f>SUMIF('IG Performance Metrics'!B:B, A10, 'IG Performance Metrics'!L:L)</f>
        <v>87196</v>
      </c>
      <c r="G10" s="13">
        <f t="shared" si="1"/>
        <v>158.2504537</v>
      </c>
      <c r="H10" s="20">
        <f t="shared" si="2"/>
        <v>2.003538522</v>
      </c>
    </row>
    <row r="11">
      <c r="A11" s="8">
        <v>10.0</v>
      </c>
      <c r="B11" s="12">
        <f>SUMIF('IG Performance Metrics'!B:B, A11, 'IG Performance Metrics'!C:C)</f>
        <v>1780444</v>
      </c>
      <c r="C11" s="12">
        <f>SUMIF('IG Performance Metrics'!B:B, A11, 'IG Performance Metrics'!E:E)</f>
        <v>36765</v>
      </c>
      <c r="D11" s="13">
        <f>SUMIF('IG Performance Metrics'!B:B, A11, 'IG Performance Metrics'!H:H)</f>
        <v>49918</v>
      </c>
      <c r="E11" s="12">
        <f>SUMIF('IG Performance Metrics'!B:B, A11, 'IG Performance Metrics'!J:J)</f>
        <v>714</v>
      </c>
      <c r="F11" s="13">
        <f>SUMIF('IG Performance Metrics'!B:B, A11, 'IG Performance Metrics'!L:L)</f>
        <v>103574</v>
      </c>
      <c r="G11" s="13">
        <f t="shared" si="1"/>
        <v>145.0616246</v>
      </c>
      <c r="H11" s="20">
        <f t="shared" si="2"/>
        <v>2.074882808</v>
      </c>
    </row>
    <row r="12">
      <c r="A12" s="8">
        <v>11.0</v>
      </c>
      <c r="B12" s="12">
        <f>SUMIF('IG Performance Metrics'!B:B, A12, 'IG Performance Metrics'!C:C)</f>
        <v>1567977</v>
      </c>
      <c r="C12" s="12">
        <f>SUMIF('IG Performance Metrics'!B:B, A12, 'IG Performance Metrics'!E:E)</f>
        <v>31184</v>
      </c>
      <c r="D12" s="13">
        <f>SUMIF('IG Performance Metrics'!B:B, A12, 'IG Performance Metrics'!H:H)</f>
        <v>42580</v>
      </c>
      <c r="E12" s="12">
        <f>SUMIF('IG Performance Metrics'!B:B, A12, 'IG Performance Metrics'!J:J)</f>
        <v>567</v>
      </c>
      <c r="F12" s="13">
        <f>SUMIF('IG Performance Metrics'!B:B, A12, 'IG Performance Metrics'!L:L)</f>
        <v>88344</v>
      </c>
      <c r="G12" s="13">
        <f t="shared" si="1"/>
        <v>155.8095238</v>
      </c>
      <c r="H12" s="20">
        <f t="shared" si="2"/>
        <v>2.074776891</v>
      </c>
    </row>
    <row r="13">
      <c r="A13" s="8">
        <v>12.0</v>
      </c>
      <c r="B13" s="12">
        <f>SUMIF('IG Performance Metrics'!B:B, A13, 'IG Performance Metrics'!C:C)</f>
        <v>2294197</v>
      </c>
      <c r="C13" s="12">
        <f>SUMIF('IG Performance Metrics'!B:B, A13, 'IG Performance Metrics'!E:E)</f>
        <v>47640</v>
      </c>
      <c r="D13" s="13">
        <f>SUMIF('IG Performance Metrics'!B:B, A13, 'IG Performance Metrics'!H:H)</f>
        <v>69955</v>
      </c>
      <c r="E13" s="12">
        <f>SUMIF('IG Performance Metrics'!B:B, A13, 'IG Performance Metrics'!J:J)</f>
        <v>830</v>
      </c>
      <c r="F13" s="13">
        <f>SUMIF('IG Performance Metrics'!B:B, A13, 'IG Performance Metrics'!L:L)</f>
        <v>133509</v>
      </c>
      <c r="G13" s="13">
        <f t="shared" si="1"/>
        <v>160.8542169</v>
      </c>
      <c r="H13" s="20">
        <f t="shared" si="2"/>
        <v>1.90849832</v>
      </c>
    </row>
    <row r="14">
      <c r="D14" s="13"/>
      <c r="F14" s="13"/>
      <c r="G14" s="13"/>
      <c r="H14" s="20"/>
    </row>
    <row r="15">
      <c r="D15" s="13"/>
      <c r="F15" s="13"/>
      <c r="G15" s="13"/>
      <c r="H15" s="20"/>
    </row>
    <row r="16">
      <c r="D16" s="13"/>
      <c r="F16" s="13"/>
      <c r="G16" s="13"/>
      <c r="H16" s="20"/>
    </row>
    <row r="17">
      <c r="D17" s="13"/>
      <c r="F17" s="13"/>
      <c r="G17" s="13"/>
      <c r="H17" s="20"/>
    </row>
    <row r="18">
      <c r="D18" s="13"/>
      <c r="F18" s="13"/>
      <c r="G18" s="13"/>
      <c r="H18" s="20"/>
    </row>
    <row r="19">
      <c r="D19" s="13"/>
      <c r="F19" s="13"/>
      <c r="G19" s="13"/>
      <c r="H19" s="20"/>
    </row>
    <row r="20">
      <c r="D20" s="13"/>
      <c r="F20" s="13"/>
      <c r="G20" s="13"/>
      <c r="H20" s="20"/>
    </row>
    <row r="21">
      <c r="D21" s="13"/>
      <c r="F21" s="13"/>
      <c r="G21" s="13"/>
      <c r="H21" s="20"/>
    </row>
    <row r="22">
      <c r="D22" s="13"/>
      <c r="F22" s="13"/>
      <c r="G22" s="13"/>
      <c r="H22" s="20"/>
    </row>
    <row r="23">
      <c r="D23" s="13"/>
      <c r="F23" s="13"/>
      <c r="G23" s="13"/>
      <c r="H23" s="20"/>
    </row>
    <row r="24">
      <c r="D24" s="13"/>
      <c r="F24" s="13"/>
      <c r="G24" s="13"/>
      <c r="H24" s="20"/>
    </row>
    <row r="25">
      <c r="D25" s="13"/>
      <c r="F25" s="13"/>
      <c r="G25" s="13"/>
      <c r="H25" s="20"/>
    </row>
    <row r="26">
      <c r="D26" s="13"/>
      <c r="F26" s="13"/>
      <c r="G26" s="13"/>
      <c r="H26" s="20"/>
    </row>
    <row r="27">
      <c r="D27" s="13"/>
      <c r="F27" s="13"/>
      <c r="G27" s="13"/>
      <c r="H27" s="20"/>
    </row>
    <row r="28">
      <c r="D28" s="13"/>
      <c r="F28" s="13"/>
      <c r="G28" s="13"/>
      <c r="H28" s="20"/>
    </row>
    <row r="29">
      <c r="D29" s="13"/>
      <c r="F29" s="13"/>
      <c r="G29" s="13"/>
      <c r="H29" s="20"/>
    </row>
    <row r="30">
      <c r="D30" s="13"/>
      <c r="F30" s="13"/>
      <c r="G30" s="13"/>
      <c r="H30" s="20"/>
    </row>
    <row r="31">
      <c r="D31" s="13"/>
      <c r="F31" s="13"/>
      <c r="G31" s="13"/>
      <c r="H31" s="20"/>
    </row>
    <row r="32">
      <c r="D32" s="13"/>
      <c r="F32" s="13"/>
      <c r="G32" s="13"/>
      <c r="H32" s="20"/>
    </row>
    <row r="33">
      <c r="D33" s="13"/>
      <c r="F33" s="13"/>
      <c r="G33" s="13"/>
      <c r="H33" s="20"/>
    </row>
    <row r="34">
      <c r="D34" s="13"/>
      <c r="F34" s="13"/>
      <c r="G34" s="13"/>
      <c r="H34" s="20"/>
    </row>
    <row r="35">
      <c r="D35" s="13"/>
      <c r="F35" s="13"/>
      <c r="G35" s="13"/>
      <c r="H35" s="20"/>
    </row>
    <row r="36">
      <c r="D36" s="13"/>
      <c r="F36" s="13"/>
      <c r="G36" s="13"/>
      <c r="H36" s="20"/>
    </row>
    <row r="37">
      <c r="D37" s="13"/>
      <c r="F37" s="13"/>
      <c r="G37" s="13"/>
      <c r="H37" s="20"/>
    </row>
    <row r="38">
      <c r="D38" s="13"/>
      <c r="F38" s="13"/>
      <c r="G38" s="13"/>
      <c r="H38" s="20"/>
    </row>
    <row r="39">
      <c r="D39" s="13"/>
      <c r="F39" s="13"/>
      <c r="G39" s="13"/>
      <c r="H39" s="20"/>
    </row>
    <row r="40">
      <c r="D40" s="13"/>
      <c r="F40" s="13"/>
      <c r="G40" s="13"/>
      <c r="H40" s="20"/>
    </row>
    <row r="41">
      <c r="D41" s="13"/>
      <c r="F41" s="13"/>
      <c r="G41" s="13"/>
      <c r="H41" s="20"/>
    </row>
    <row r="42">
      <c r="D42" s="13"/>
      <c r="F42" s="13"/>
      <c r="G42" s="13"/>
      <c r="H42" s="20"/>
    </row>
    <row r="43">
      <c r="D43" s="13"/>
      <c r="F43" s="13"/>
      <c r="G43" s="13"/>
      <c r="H43" s="20"/>
    </row>
    <row r="44">
      <c r="D44" s="13"/>
      <c r="F44" s="13"/>
      <c r="G44" s="13"/>
      <c r="H44" s="20"/>
    </row>
    <row r="45">
      <c r="D45" s="13"/>
      <c r="F45" s="13"/>
      <c r="G45" s="13"/>
      <c r="H45" s="20"/>
    </row>
    <row r="46">
      <c r="D46" s="13"/>
      <c r="F46" s="13"/>
      <c r="G46" s="13"/>
      <c r="H46" s="20"/>
    </row>
    <row r="47">
      <c r="D47" s="13"/>
      <c r="F47" s="13"/>
      <c r="G47" s="13"/>
      <c r="H47" s="20"/>
    </row>
    <row r="48">
      <c r="D48" s="13"/>
      <c r="F48" s="13"/>
      <c r="G48" s="13"/>
      <c r="H48" s="20"/>
    </row>
    <row r="49">
      <c r="D49" s="13"/>
      <c r="F49" s="13"/>
      <c r="G49" s="13"/>
      <c r="H49" s="20"/>
    </row>
    <row r="50">
      <c r="D50" s="13"/>
      <c r="F50" s="13"/>
      <c r="G50" s="13"/>
      <c r="H50" s="20"/>
    </row>
    <row r="51">
      <c r="D51" s="13"/>
      <c r="F51" s="13"/>
      <c r="G51" s="13"/>
      <c r="H51" s="20"/>
    </row>
    <row r="52">
      <c r="D52" s="13"/>
      <c r="F52" s="13"/>
      <c r="G52" s="13"/>
      <c r="H52" s="20"/>
    </row>
    <row r="53">
      <c r="D53" s="13"/>
      <c r="F53" s="13"/>
      <c r="G53" s="13"/>
      <c r="H53" s="20"/>
    </row>
    <row r="54">
      <c r="D54" s="13"/>
      <c r="F54" s="13"/>
      <c r="G54" s="13"/>
      <c r="H54" s="20"/>
    </row>
    <row r="55">
      <c r="D55" s="13"/>
      <c r="F55" s="13"/>
      <c r="G55" s="13"/>
      <c r="H55" s="20"/>
    </row>
    <row r="56">
      <c r="D56" s="13"/>
      <c r="F56" s="13"/>
      <c r="G56" s="13"/>
      <c r="H56" s="20"/>
    </row>
    <row r="57">
      <c r="D57" s="13"/>
      <c r="F57" s="13"/>
      <c r="G57" s="13"/>
      <c r="H57" s="20"/>
    </row>
    <row r="58">
      <c r="D58" s="13"/>
      <c r="F58" s="13"/>
      <c r="G58" s="13"/>
      <c r="H58" s="20"/>
    </row>
    <row r="59">
      <c r="D59" s="13"/>
      <c r="F59" s="13"/>
      <c r="G59" s="13"/>
      <c r="H59" s="20"/>
    </row>
    <row r="60">
      <c r="D60" s="13"/>
      <c r="F60" s="13"/>
      <c r="G60" s="13"/>
      <c r="H60" s="20"/>
    </row>
    <row r="61">
      <c r="D61" s="13"/>
      <c r="F61" s="13"/>
      <c r="G61" s="13"/>
      <c r="H61" s="20"/>
    </row>
    <row r="62">
      <c r="D62" s="13"/>
      <c r="F62" s="13"/>
      <c r="G62" s="13"/>
      <c r="H62" s="20"/>
    </row>
    <row r="63">
      <c r="D63" s="13"/>
      <c r="F63" s="13"/>
      <c r="G63" s="13"/>
      <c r="H63" s="20"/>
    </row>
    <row r="64">
      <c r="D64" s="13"/>
      <c r="F64" s="13"/>
      <c r="G64" s="13"/>
      <c r="H64" s="20"/>
    </row>
    <row r="65">
      <c r="D65" s="13"/>
      <c r="F65" s="13"/>
      <c r="G65" s="13"/>
      <c r="H65" s="20"/>
    </row>
    <row r="66">
      <c r="D66" s="13"/>
      <c r="F66" s="13"/>
      <c r="G66" s="13"/>
      <c r="H66" s="20"/>
    </row>
    <row r="67">
      <c r="D67" s="13"/>
      <c r="F67" s="13"/>
      <c r="G67" s="13"/>
      <c r="H67" s="20"/>
    </row>
    <row r="68">
      <c r="D68" s="13"/>
      <c r="F68" s="13"/>
      <c r="G68" s="13"/>
      <c r="H68" s="20"/>
    </row>
    <row r="69">
      <c r="D69" s="13"/>
      <c r="F69" s="13"/>
      <c r="G69" s="13"/>
      <c r="H69" s="20"/>
    </row>
    <row r="70">
      <c r="D70" s="13"/>
      <c r="F70" s="13"/>
      <c r="G70" s="13"/>
      <c r="H70" s="20"/>
    </row>
    <row r="71">
      <c r="D71" s="13"/>
      <c r="F71" s="13"/>
      <c r="G71" s="13"/>
      <c r="H71" s="20"/>
    </row>
    <row r="72">
      <c r="D72" s="13"/>
      <c r="F72" s="13"/>
      <c r="G72" s="13"/>
      <c r="H72" s="20"/>
    </row>
    <row r="73">
      <c r="D73" s="13"/>
      <c r="F73" s="13"/>
      <c r="G73" s="13"/>
      <c r="H73" s="20"/>
    </row>
    <row r="74">
      <c r="D74" s="13"/>
      <c r="F74" s="13"/>
      <c r="G74" s="13"/>
      <c r="H74" s="20"/>
    </row>
    <row r="75">
      <c r="D75" s="13"/>
      <c r="F75" s="13"/>
      <c r="G75" s="13"/>
      <c r="H75" s="20"/>
    </row>
    <row r="76">
      <c r="D76" s="13"/>
      <c r="F76" s="13"/>
      <c r="G76" s="13"/>
      <c r="H76" s="20"/>
    </row>
    <row r="77">
      <c r="D77" s="13"/>
      <c r="F77" s="13"/>
      <c r="G77" s="13"/>
      <c r="H77" s="20"/>
    </row>
    <row r="78">
      <c r="D78" s="13"/>
      <c r="F78" s="13"/>
      <c r="G78" s="13"/>
      <c r="H78" s="20"/>
    </row>
    <row r="79">
      <c r="D79" s="13"/>
      <c r="F79" s="13"/>
      <c r="G79" s="13"/>
      <c r="H79" s="20"/>
    </row>
    <row r="80">
      <c r="D80" s="13"/>
      <c r="F80" s="13"/>
      <c r="G80" s="13"/>
      <c r="H80" s="20"/>
    </row>
    <row r="81">
      <c r="D81" s="13"/>
      <c r="F81" s="13"/>
      <c r="G81" s="13"/>
      <c r="H81" s="20"/>
    </row>
    <row r="82">
      <c r="D82" s="13"/>
      <c r="F82" s="13"/>
      <c r="G82" s="13"/>
      <c r="H82" s="20"/>
    </row>
    <row r="83">
      <c r="D83" s="13"/>
      <c r="F83" s="13"/>
      <c r="G83" s="13"/>
      <c r="H83" s="20"/>
    </row>
    <row r="84">
      <c r="D84" s="13"/>
      <c r="F84" s="13"/>
      <c r="G84" s="13"/>
      <c r="H84" s="20"/>
    </row>
    <row r="85">
      <c r="D85" s="13"/>
      <c r="F85" s="13"/>
      <c r="G85" s="13"/>
      <c r="H85" s="20"/>
    </row>
    <row r="86">
      <c r="D86" s="13"/>
      <c r="F86" s="13"/>
      <c r="G86" s="13"/>
      <c r="H86" s="20"/>
    </row>
    <row r="87">
      <c r="D87" s="13"/>
      <c r="F87" s="13"/>
      <c r="G87" s="13"/>
      <c r="H87" s="20"/>
    </row>
    <row r="88">
      <c r="D88" s="13"/>
      <c r="F88" s="13"/>
      <c r="G88" s="13"/>
      <c r="H88" s="20"/>
    </row>
    <row r="89">
      <c r="D89" s="13"/>
      <c r="F89" s="13"/>
      <c r="G89" s="13"/>
      <c r="H89" s="20"/>
    </row>
    <row r="90">
      <c r="D90" s="13"/>
      <c r="F90" s="13"/>
      <c r="G90" s="13"/>
      <c r="H90" s="20"/>
    </row>
    <row r="91">
      <c r="D91" s="13"/>
      <c r="F91" s="13"/>
      <c r="G91" s="13"/>
      <c r="H91" s="20"/>
    </row>
    <row r="92">
      <c r="D92" s="13"/>
      <c r="F92" s="13"/>
      <c r="G92" s="13"/>
      <c r="H92" s="20"/>
    </row>
    <row r="93">
      <c r="D93" s="13"/>
      <c r="F93" s="13"/>
      <c r="G93" s="13"/>
      <c r="H93" s="20"/>
    </row>
    <row r="94">
      <c r="D94" s="13"/>
      <c r="F94" s="13"/>
      <c r="G94" s="13"/>
      <c r="H94" s="20"/>
    </row>
    <row r="95">
      <c r="D95" s="13"/>
      <c r="F95" s="13"/>
      <c r="G95" s="13"/>
      <c r="H95" s="20"/>
    </row>
    <row r="96">
      <c r="D96" s="13"/>
      <c r="F96" s="13"/>
      <c r="G96" s="13"/>
      <c r="H96" s="20"/>
    </row>
    <row r="97">
      <c r="D97" s="13"/>
      <c r="F97" s="13"/>
      <c r="G97" s="13"/>
      <c r="H97" s="20"/>
    </row>
    <row r="98">
      <c r="D98" s="13"/>
      <c r="F98" s="13"/>
      <c r="G98" s="13"/>
      <c r="H98" s="20"/>
    </row>
    <row r="99">
      <c r="D99" s="13"/>
      <c r="F99" s="13"/>
      <c r="G99" s="13"/>
      <c r="H99" s="20"/>
    </row>
    <row r="100">
      <c r="D100" s="13"/>
      <c r="F100" s="13"/>
      <c r="G100" s="13"/>
      <c r="H100" s="20"/>
    </row>
    <row r="101">
      <c r="D101" s="13"/>
      <c r="F101" s="13"/>
      <c r="G101" s="13"/>
      <c r="H101" s="20"/>
    </row>
    <row r="102">
      <c r="D102" s="13"/>
      <c r="F102" s="13"/>
      <c r="G102" s="13"/>
      <c r="H102" s="20"/>
    </row>
    <row r="103">
      <c r="D103" s="13"/>
      <c r="F103" s="13"/>
      <c r="G103" s="13"/>
      <c r="H103" s="20"/>
    </row>
    <row r="104">
      <c r="D104" s="13"/>
      <c r="F104" s="13"/>
      <c r="G104" s="13"/>
      <c r="H104" s="20"/>
    </row>
    <row r="105">
      <c r="D105" s="13"/>
      <c r="F105" s="13"/>
      <c r="G105" s="13"/>
      <c r="H105" s="20"/>
    </row>
    <row r="106">
      <c r="D106" s="13"/>
      <c r="F106" s="13"/>
      <c r="G106" s="13"/>
      <c r="H106" s="20"/>
    </row>
    <row r="107">
      <c r="D107" s="13"/>
      <c r="F107" s="13"/>
      <c r="G107" s="13"/>
      <c r="H107" s="20"/>
    </row>
    <row r="108">
      <c r="D108" s="13"/>
      <c r="F108" s="13"/>
      <c r="G108" s="13"/>
      <c r="H108" s="20"/>
    </row>
    <row r="109">
      <c r="D109" s="13"/>
      <c r="F109" s="13"/>
      <c r="G109" s="13"/>
      <c r="H109" s="20"/>
    </row>
    <row r="110">
      <c r="D110" s="13"/>
      <c r="F110" s="13"/>
      <c r="G110" s="13"/>
      <c r="H110" s="20"/>
    </row>
    <row r="111">
      <c r="D111" s="13"/>
      <c r="F111" s="13"/>
      <c r="G111" s="13"/>
      <c r="H111" s="20"/>
    </row>
    <row r="112">
      <c r="D112" s="13"/>
      <c r="F112" s="13"/>
      <c r="G112" s="13"/>
      <c r="H112" s="20"/>
    </row>
    <row r="113">
      <c r="D113" s="13"/>
      <c r="F113" s="13"/>
      <c r="G113" s="13"/>
      <c r="H113" s="20"/>
    </row>
    <row r="114">
      <c r="D114" s="13"/>
      <c r="F114" s="13"/>
      <c r="G114" s="13"/>
      <c r="H114" s="20"/>
    </row>
    <row r="115">
      <c r="D115" s="13"/>
      <c r="F115" s="13"/>
      <c r="G115" s="13"/>
      <c r="H115" s="20"/>
    </row>
    <row r="116">
      <c r="D116" s="13"/>
      <c r="F116" s="13"/>
      <c r="G116" s="13"/>
      <c r="H116" s="20"/>
    </row>
    <row r="117">
      <c r="D117" s="13"/>
      <c r="F117" s="13"/>
      <c r="G117" s="13"/>
      <c r="H117" s="20"/>
    </row>
    <row r="118">
      <c r="D118" s="13"/>
      <c r="F118" s="13"/>
      <c r="G118" s="13"/>
      <c r="H118" s="20"/>
    </row>
    <row r="119">
      <c r="D119" s="13"/>
      <c r="F119" s="13"/>
      <c r="G119" s="13"/>
      <c r="H119" s="20"/>
    </row>
    <row r="120">
      <c r="D120" s="13"/>
      <c r="F120" s="13"/>
      <c r="G120" s="13"/>
      <c r="H120" s="20"/>
    </row>
    <row r="121">
      <c r="D121" s="13"/>
      <c r="F121" s="13"/>
      <c r="G121" s="13"/>
      <c r="H121" s="20"/>
    </row>
    <row r="122">
      <c r="D122" s="13"/>
      <c r="F122" s="13"/>
      <c r="G122" s="13"/>
      <c r="H122" s="20"/>
    </row>
    <row r="123">
      <c r="D123" s="13"/>
      <c r="F123" s="13"/>
      <c r="G123" s="13"/>
      <c r="H123" s="20"/>
    </row>
    <row r="124">
      <c r="D124" s="13"/>
      <c r="F124" s="13"/>
      <c r="G124" s="13"/>
      <c r="H124" s="20"/>
    </row>
    <row r="125">
      <c r="D125" s="13"/>
      <c r="F125" s="13"/>
      <c r="G125" s="13"/>
      <c r="H125" s="20"/>
    </row>
    <row r="126">
      <c r="D126" s="13"/>
      <c r="F126" s="13"/>
      <c r="G126" s="13"/>
      <c r="H126" s="20"/>
    </row>
    <row r="127">
      <c r="D127" s="13"/>
      <c r="F127" s="13"/>
      <c r="G127" s="13"/>
      <c r="H127" s="20"/>
    </row>
    <row r="128">
      <c r="D128" s="13"/>
      <c r="F128" s="13"/>
      <c r="G128" s="13"/>
      <c r="H128" s="20"/>
    </row>
    <row r="129">
      <c r="D129" s="13"/>
      <c r="F129" s="13"/>
      <c r="G129" s="13"/>
      <c r="H129" s="20"/>
    </row>
    <row r="130">
      <c r="D130" s="13"/>
      <c r="F130" s="13"/>
      <c r="G130" s="13"/>
      <c r="H130" s="20"/>
    </row>
    <row r="131">
      <c r="D131" s="13"/>
      <c r="F131" s="13"/>
      <c r="G131" s="13"/>
      <c r="H131" s="20"/>
    </row>
    <row r="132">
      <c r="D132" s="13"/>
      <c r="F132" s="13"/>
      <c r="G132" s="13"/>
      <c r="H132" s="20"/>
    </row>
    <row r="133">
      <c r="D133" s="13"/>
      <c r="F133" s="13"/>
      <c r="G133" s="13"/>
      <c r="H133" s="20"/>
    </row>
    <row r="134">
      <c r="D134" s="13"/>
      <c r="F134" s="13"/>
      <c r="G134" s="13"/>
      <c r="H134" s="20"/>
    </row>
    <row r="135">
      <c r="D135" s="13"/>
      <c r="F135" s="13"/>
      <c r="G135" s="13"/>
      <c r="H135" s="20"/>
    </row>
    <row r="136">
      <c r="D136" s="13"/>
      <c r="F136" s="13"/>
      <c r="G136" s="13"/>
      <c r="H136" s="20"/>
    </row>
    <row r="137">
      <c r="D137" s="13"/>
      <c r="F137" s="13"/>
      <c r="G137" s="13"/>
      <c r="H137" s="20"/>
    </row>
    <row r="138">
      <c r="D138" s="13"/>
      <c r="F138" s="13"/>
      <c r="G138" s="13"/>
      <c r="H138" s="20"/>
    </row>
    <row r="139">
      <c r="D139" s="13"/>
      <c r="F139" s="13"/>
      <c r="G139" s="13"/>
      <c r="H139" s="20"/>
    </row>
    <row r="140">
      <c r="D140" s="13"/>
      <c r="F140" s="13"/>
      <c r="G140" s="13"/>
      <c r="H140" s="20"/>
    </row>
    <row r="141">
      <c r="D141" s="13"/>
      <c r="F141" s="13"/>
      <c r="G141" s="13"/>
      <c r="H141" s="20"/>
    </row>
    <row r="142">
      <c r="D142" s="13"/>
      <c r="F142" s="13"/>
      <c r="G142" s="13"/>
      <c r="H142" s="20"/>
    </row>
    <row r="143">
      <c r="D143" s="13"/>
      <c r="F143" s="13"/>
      <c r="G143" s="13"/>
      <c r="H143" s="20"/>
    </row>
    <row r="144">
      <c r="D144" s="13"/>
      <c r="F144" s="13"/>
      <c r="G144" s="13"/>
      <c r="H144" s="20"/>
    </row>
    <row r="145">
      <c r="D145" s="13"/>
      <c r="F145" s="13"/>
      <c r="G145" s="13"/>
      <c r="H145" s="20"/>
    </row>
    <row r="146">
      <c r="D146" s="13"/>
      <c r="F146" s="13"/>
      <c r="G146" s="13"/>
      <c r="H146" s="20"/>
    </row>
    <row r="147">
      <c r="D147" s="13"/>
      <c r="F147" s="13"/>
      <c r="G147" s="13"/>
      <c r="H147" s="20"/>
    </row>
    <row r="148">
      <c r="D148" s="13"/>
      <c r="F148" s="13"/>
      <c r="G148" s="13"/>
      <c r="H148" s="20"/>
    </row>
    <row r="149">
      <c r="D149" s="13"/>
      <c r="F149" s="13"/>
      <c r="G149" s="13"/>
      <c r="H149" s="20"/>
    </row>
    <row r="150">
      <c r="D150" s="13"/>
      <c r="F150" s="13"/>
      <c r="G150" s="13"/>
      <c r="H150" s="20"/>
    </row>
    <row r="151">
      <c r="D151" s="13"/>
      <c r="F151" s="13"/>
      <c r="G151" s="13"/>
      <c r="H151" s="20"/>
    </row>
    <row r="152">
      <c r="D152" s="13"/>
      <c r="F152" s="13"/>
      <c r="G152" s="13"/>
      <c r="H152" s="20"/>
    </row>
    <row r="153">
      <c r="D153" s="13"/>
      <c r="F153" s="13"/>
      <c r="G153" s="13"/>
      <c r="H153" s="20"/>
    </row>
    <row r="154">
      <c r="D154" s="13"/>
      <c r="F154" s="13"/>
      <c r="G154" s="13"/>
      <c r="H154" s="20"/>
    </row>
    <row r="155">
      <c r="D155" s="13"/>
      <c r="F155" s="13"/>
      <c r="G155" s="13"/>
      <c r="H155" s="20"/>
    </row>
    <row r="156">
      <c r="D156" s="13"/>
      <c r="F156" s="13"/>
      <c r="G156" s="13"/>
      <c r="H156" s="20"/>
    </row>
    <row r="157">
      <c r="D157" s="13"/>
      <c r="F157" s="13"/>
      <c r="G157" s="13"/>
      <c r="H157" s="20"/>
    </row>
    <row r="158">
      <c r="D158" s="13"/>
      <c r="F158" s="13"/>
      <c r="G158" s="13"/>
      <c r="H158" s="20"/>
    </row>
    <row r="159">
      <c r="D159" s="13"/>
      <c r="F159" s="13"/>
      <c r="G159" s="13"/>
      <c r="H159" s="20"/>
    </row>
    <row r="160">
      <c r="D160" s="13"/>
      <c r="F160" s="13"/>
      <c r="G160" s="13"/>
      <c r="H160" s="20"/>
    </row>
    <row r="161">
      <c r="D161" s="13"/>
      <c r="F161" s="13"/>
      <c r="G161" s="13"/>
      <c r="H161" s="20"/>
    </row>
    <row r="162">
      <c r="D162" s="13"/>
      <c r="F162" s="13"/>
      <c r="G162" s="13"/>
      <c r="H162" s="20"/>
    </row>
    <row r="163">
      <c r="D163" s="13"/>
      <c r="F163" s="13"/>
      <c r="G163" s="13"/>
      <c r="H163" s="20"/>
    </row>
    <row r="164">
      <c r="D164" s="13"/>
      <c r="F164" s="13"/>
      <c r="G164" s="13"/>
      <c r="H164" s="20"/>
    </row>
    <row r="165">
      <c r="D165" s="13"/>
      <c r="F165" s="13"/>
      <c r="G165" s="13"/>
      <c r="H165" s="20"/>
    </row>
    <row r="166">
      <c r="D166" s="13"/>
      <c r="F166" s="13"/>
      <c r="G166" s="13"/>
      <c r="H166" s="20"/>
    </row>
    <row r="167">
      <c r="D167" s="13"/>
      <c r="F167" s="13"/>
      <c r="G167" s="13"/>
      <c r="H167" s="20"/>
    </row>
    <row r="168">
      <c r="D168" s="13"/>
      <c r="F168" s="13"/>
      <c r="G168" s="13"/>
      <c r="H168" s="20"/>
    </row>
    <row r="169">
      <c r="D169" s="13"/>
      <c r="F169" s="13"/>
      <c r="G169" s="13"/>
      <c r="H169" s="20"/>
    </row>
    <row r="170">
      <c r="D170" s="13"/>
      <c r="F170" s="13"/>
      <c r="G170" s="13"/>
      <c r="H170" s="20"/>
    </row>
    <row r="171">
      <c r="D171" s="13"/>
      <c r="F171" s="13"/>
      <c r="G171" s="13"/>
      <c r="H171" s="20"/>
    </row>
    <row r="172">
      <c r="D172" s="13"/>
      <c r="F172" s="13"/>
      <c r="G172" s="13"/>
      <c r="H172" s="20"/>
    </row>
    <row r="173">
      <c r="D173" s="13"/>
      <c r="F173" s="13"/>
      <c r="G173" s="13"/>
      <c r="H173" s="20"/>
    </row>
    <row r="174">
      <c r="D174" s="13"/>
      <c r="F174" s="13"/>
      <c r="G174" s="13"/>
      <c r="H174" s="20"/>
    </row>
    <row r="175">
      <c r="D175" s="13"/>
      <c r="F175" s="13"/>
      <c r="G175" s="13"/>
      <c r="H175" s="20"/>
    </row>
    <row r="176">
      <c r="D176" s="13"/>
      <c r="F176" s="13"/>
      <c r="G176" s="13"/>
      <c r="H176" s="20"/>
    </row>
    <row r="177">
      <c r="D177" s="13"/>
      <c r="F177" s="13"/>
      <c r="G177" s="13"/>
      <c r="H177" s="20"/>
    </row>
    <row r="178">
      <c r="D178" s="13"/>
      <c r="F178" s="13"/>
      <c r="G178" s="13"/>
      <c r="H178" s="20"/>
    </row>
    <row r="179">
      <c r="D179" s="13"/>
      <c r="F179" s="13"/>
      <c r="G179" s="13"/>
      <c r="H179" s="20"/>
    </row>
    <row r="180">
      <c r="D180" s="13"/>
      <c r="F180" s="13"/>
      <c r="G180" s="13"/>
      <c r="H180" s="20"/>
    </row>
    <row r="181">
      <c r="D181" s="13"/>
      <c r="F181" s="13"/>
      <c r="G181" s="13"/>
      <c r="H181" s="20"/>
    </row>
    <row r="182">
      <c r="D182" s="13"/>
      <c r="F182" s="13"/>
      <c r="G182" s="13"/>
      <c r="H182" s="20"/>
    </row>
    <row r="183">
      <c r="D183" s="13"/>
      <c r="F183" s="13"/>
      <c r="G183" s="13"/>
      <c r="H183" s="20"/>
    </row>
    <row r="184">
      <c r="D184" s="13"/>
      <c r="F184" s="13"/>
      <c r="G184" s="13"/>
      <c r="H184" s="20"/>
    </row>
    <row r="185">
      <c r="D185" s="13"/>
      <c r="F185" s="13"/>
      <c r="G185" s="13"/>
      <c r="H185" s="20"/>
    </row>
    <row r="186">
      <c r="D186" s="13"/>
      <c r="F186" s="13"/>
      <c r="G186" s="13"/>
      <c r="H186" s="20"/>
    </row>
    <row r="187">
      <c r="D187" s="13"/>
      <c r="F187" s="13"/>
      <c r="G187" s="13"/>
      <c r="H187" s="20"/>
    </row>
    <row r="188">
      <c r="D188" s="13"/>
      <c r="F188" s="13"/>
      <c r="G188" s="13"/>
      <c r="H188" s="20"/>
    </row>
    <row r="189">
      <c r="D189" s="13"/>
      <c r="F189" s="13"/>
      <c r="G189" s="13"/>
      <c r="H189" s="20"/>
    </row>
    <row r="190">
      <c r="D190" s="13"/>
      <c r="F190" s="13"/>
      <c r="G190" s="13"/>
      <c r="H190" s="20"/>
    </row>
    <row r="191">
      <c r="D191" s="13"/>
      <c r="F191" s="13"/>
      <c r="G191" s="13"/>
      <c r="H191" s="20"/>
    </row>
    <row r="192">
      <c r="D192" s="13"/>
      <c r="F192" s="13"/>
      <c r="G192" s="13"/>
      <c r="H192" s="20"/>
    </row>
    <row r="193">
      <c r="D193" s="13"/>
      <c r="F193" s="13"/>
      <c r="G193" s="13"/>
      <c r="H193" s="20"/>
    </row>
    <row r="194">
      <c r="D194" s="13"/>
      <c r="F194" s="13"/>
      <c r="G194" s="13"/>
      <c r="H194" s="20"/>
    </row>
    <row r="195">
      <c r="D195" s="13"/>
      <c r="F195" s="13"/>
      <c r="G195" s="13"/>
      <c r="H195" s="20"/>
    </row>
    <row r="196">
      <c r="D196" s="13"/>
      <c r="F196" s="13"/>
      <c r="G196" s="13"/>
      <c r="H196" s="20"/>
    </row>
    <row r="197">
      <c r="D197" s="13"/>
      <c r="F197" s="13"/>
      <c r="G197" s="13"/>
      <c r="H197" s="20"/>
    </row>
    <row r="198">
      <c r="D198" s="13"/>
      <c r="F198" s="13"/>
      <c r="G198" s="13"/>
      <c r="H198" s="20"/>
    </row>
    <row r="199">
      <c r="D199" s="13"/>
      <c r="F199" s="13"/>
      <c r="G199" s="13"/>
      <c r="H199" s="20"/>
    </row>
    <row r="200">
      <c r="D200" s="13"/>
      <c r="F200" s="13"/>
      <c r="G200" s="13"/>
      <c r="H200" s="20"/>
    </row>
    <row r="201">
      <c r="D201" s="13"/>
      <c r="F201" s="13"/>
      <c r="G201" s="13"/>
      <c r="H201" s="20"/>
    </row>
    <row r="202">
      <c r="D202" s="13"/>
      <c r="F202" s="13"/>
      <c r="G202" s="13"/>
      <c r="H202" s="20"/>
    </row>
    <row r="203">
      <c r="D203" s="13"/>
      <c r="F203" s="13"/>
      <c r="G203" s="13"/>
      <c r="H203" s="20"/>
    </row>
    <row r="204">
      <c r="D204" s="13"/>
      <c r="F204" s="13"/>
      <c r="G204" s="13"/>
      <c r="H204" s="20"/>
    </row>
    <row r="205">
      <c r="D205" s="13"/>
      <c r="F205" s="13"/>
      <c r="G205" s="13"/>
      <c r="H205" s="20"/>
    </row>
    <row r="206">
      <c r="D206" s="13"/>
      <c r="F206" s="13"/>
      <c r="G206" s="13"/>
      <c r="H206" s="20"/>
    </row>
    <row r="207">
      <c r="D207" s="13"/>
      <c r="F207" s="13"/>
      <c r="G207" s="13"/>
      <c r="H207" s="20"/>
    </row>
    <row r="208">
      <c r="D208" s="13"/>
      <c r="F208" s="13"/>
      <c r="G208" s="13"/>
      <c r="H208" s="20"/>
    </row>
    <row r="209">
      <c r="D209" s="13"/>
      <c r="F209" s="13"/>
      <c r="G209" s="13"/>
      <c r="H209" s="20"/>
    </row>
    <row r="210">
      <c r="D210" s="13"/>
      <c r="F210" s="13"/>
      <c r="G210" s="13"/>
      <c r="H210" s="20"/>
    </row>
    <row r="211">
      <c r="D211" s="13"/>
      <c r="F211" s="13"/>
      <c r="G211" s="13"/>
      <c r="H211" s="20"/>
    </row>
    <row r="212">
      <c r="D212" s="13"/>
      <c r="F212" s="13"/>
      <c r="G212" s="13"/>
      <c r="H212" s="20"/>
    </row>
    <row r="213">
      <c r="D213" s="13"/>
      <c r="F213" s="13"/>
      <c r="G213" s="13"/>
      <c r="H213" s="20"/>
    </row>
    <row r="214">
      <c r="D214" s="13"/>
      <c r="F214" s="13"/>
      <c r="G214" s="13"/>
      <c r="H214" s="20"/>
    </row>
    <row r="215">
      <c r="D215" s="13"/>
      <c r="F215" s="13"/>
      <c r="G215" s="13"/>
      <c r="H215" s="20"/>
    </row>
    <row r="216">
      <c r="D216" s="13"/>
      <c r="F216" s="13"/>
      <c r="G216" s="13"/>
      <c r="H216" s="20"/>
    </row>
    <row r="217">
      <c r="D217" s="13"/>
      <c r="F217" s="13"/>
      <c r="G217" s="13"/>
      <c r="H217" s="20"/>
    </row>
    <row r="218">
      <c r="D218" s="13"/>
      <c r="F218" s="13"/>
      <c r="G218" s="13"/>
      <c r="H218" s="20"/>
    </row>
    <row r="219">
      <c r="D219" s="13"/>
      <c r="F219" s="13"/>
      <c r="G219" s="13"/>
      <c r="H219" s="20"/>
    </row>
    <row r="220">
      <c r="D220" s="13"/>
      <c r="F220" s="13"/>
      <c r="G220" s="13"/>
      <c r="H220" s="20"/>
    </row>
    <row r="221">
      <c r="D221" s="13"/>
      <c r="F221" s="13"/>
      <c r="G221" s="13"/>
      <c r="H221" s="20"/>
    </row>
    <row r="222">
      <c r="D222" s="13"/>
      <c r="F222" s="13"/>
      <c r="G222" s="13"/>
      <c r="H222" s="20"/>
    </row>
    <row r="223">
      <c r="D223" s="13"/>
      <c r="F223" s="13"/>
      <c r="G223" s="13"/>
      <c r="H223" s="20"/>
    </row>
    <row r="224">
      <c r="D224" s="13"/>
      <c r="F224" s="13"/>
      <c r="G224" s="13"/>
      <c r="H224" s="20"/>
    </row>
    <row r="225">
      <c r="D225" s="13"/>
      <c r="F225" s="13"/>
      <c r="G225" s="13"/>
      <c r="H225" s="20"/>
    </row>
    <row r="226">
      <c r="D226" s="13"/>
      <c r="F226" s="13"/>
      <c r="G226" s="13"/>
      <c r="H226" s="20"/>
    </row>
    <row r="227">
      <c r="D227" s="13"/>
      <c r="F227" s="13"/>
      <c r="G227" s="13"/>
      <c r="H227" s="20"/>
    </row>
    <row r="228">
      <c r="D228" s="13"/>
      <c r="F228" s="13"/>
      <c r="G228" s="13"/>
      <c r="H228" s="20"/>
    </row>
    <row r="229">
      <c r="D229" s="13"/>
      <c r="F229" s="13"/>
      <c r="G229" s="13"/>
      <c r="H229" s="20"/>
    </row>
    <row r="230">
      <c r="D230" s="13"/>
      <c r="F230" s="13"/>
      <c r="G230" s="13"/>
      <c r="H230" s="20"/>
    </row>
    <row r="231">
      <c r="D231" s="13"/>
      <c r="F231" s="13"/>
      <c r="G231" s="13"/>
      <c r="H231" s="20"/>
    </row>
    <row r="232">
      <c r="D232" s="13"/>
      <c r="F232" s="13"/>
      <c r="G232" s="13"/>
      <c r="H232" s="20"/>
    </row>
    <row r="233">
      <c r="D233" s="13"/>
      <c r="F233" s="13"/>
      <c r="G233" s="13"/>
      <c r="H233" s="20"/>
    </row>
    <row r="234">
      <c r="D234" s="13"/>
      <c r="F234" s="13"/>
      <c r="G234" s="13"/>
      <c r="H234" s="20"/>
    </row>
    <row r="235">
      <c r="D235" s="13"/>
      <c r="F235" s="13"/>
      <c r="G235" s="13"/>
      <c r="H235" s="20"/>
    </row>
    <row r="236">
      <c r="D236" s="13"/>
      <c r="F236" s="13"/>
      <c r="G236" s="13"/>
      <c r="H236" s="20"/>
    </row>
    <row r="237">
      <c r="D237" s="13"/>
      <c r="F237" s="13"/>
      <c r="G237" s="13"/>
      <c r="H237" s="20"/>
    </row>
    <row r="238">
      <c r="D238" s="13"/>
      <c r="F238" s="13"/>
      <c r="G238" s="13"/>
      <c r="H238" s="20"/>
    </row>
    <row r="239">
      <c r="D239" s="13"/>
      <c r="F239" s="13"/>
      <c r="G239" s="13"/>
      <c r="H239" s="20"/>
    </row>
    <row r="240">
      <c r="D240" s="13"/>
      <c r="F240" s="13"/>
      <c r="G240" s="13"/>
      <c r="H240" s="20"/>
    </row>
    <row r="241">
      <c r="D241" s="13"/>
      <c r="F241" s="13"/>
      <c r="G241" s="13"/>
      <c r="H241" s="20"/>
    </row>
    <row r="242">
      <c r="D242" s="13"/>
      <c r="F242" s="13"/>
      <c r="G242" s="13"/>
      <c r="H242" s="20"/>
    </row>
    <row r="243">
      <c r="D243" s="13"/>
      <c r="F243" s="13"/>
      <c r="G243" s="13"/>
      <c r="H243" s="20"/>
    </row>
    <row r="244">
      <c r="D244" s="13"/>
      <c r="F244" s="13"/>
      <c r="G244" s="13"/>
      <c r="H244" s="20"/>
    </row>
    <row r="245">
      <c r="D245" s="13"/>
      <c r="F245" s="13"/>
      <c r="G245" s="13"/>
      <c r="H245" s="20"/>
    </row>
    <row r="246">
      <c r="D246" s="13"/>
      <c r="F246" s="13"/>
      <c r="G246" s="13"/>
      <c r="H246" s="20"/>
    </row>
    <row r="247">
      <c r="D247" s="13"/>
      <c r="F247" s="13"/>
      <c r="G247" s="13"/>
      <c r="H247" s="20"/>
    </row>
    <row r="248">
      <c r="D248" s="13"/>
      <c r="F248" s="13"/>
      <c r="G248" s="13"/>
      <c r="H248" s="20"/>
    </row>
    <row r="249">
      <c r="D249" s="13"/>
      <c r="F249" s="13"/>
      <c r="G249" s="13"/>
      <c r="H249" s="20"/>
    </row>
    <row r="250">
      <c r="D250" s="13"/>
      <c r="F250" s="13"/>
      <c r="G250" s="13"/>
      <c r="H250" s="20"/>
    </row>
    <row r="251">
      <c r="D251" s="13"/>
      <c r="F251" s="13"/>
      <c r="G251" s="13"/>
      <c r="H251" s="20"/>
    </row>
    <row r="252">
      <c r="D252" s="13"/>
      <c r="F252" s="13"/>
      <c r="G252" s="13"/>
      <c r="H252" s="20"/>
    </row>
    <row r="253">
      <c r="D253" s="13"/>
      <c r="F253" s="13"/>
      <c r="G253" s="13"/>
      <c r="H253" s="20"/>
    </row>
    <row r="254">
      <c r="D254" s="13"/>
      <c r="F254" s="13"/>
      <c r="G254" s="13"/>
      <c r="H254" s="20"/>
    </row>
    <row r="255">
      <c r="D255" s="13"/>
      <c r="F255" s="13"/>
      <c r="G255" s="13"/>
      <c r="H255" s="20"/>
    </row>
    <row r="256">
      <c r="D256" s="13"/>
      <c r="F256" s="13"/>
      <c r="G256" s="13"/>
      <c r="H256" s="20"/>
    </row>
    <row r="257">
      <c r="D257" s="13"/>
      <c r="F257" s="13"/>
      <c r="G257" s="13"/>
      <c r="H257" s="20"/>
    </row>
    <row r="258">
      <c r="D258" s="13"/>
      <c r="F258" s="13"/>
      <c r="G258" s="13"/>
      <c r="H258" s="20"/>
    </row>
    <row r="259">
      <c r="D259" s="13"/>
      <c r="F259" s="13"/>
      <c r="G259" s="13"/>
      <c r="H259" s="20"/>
    </row>
    <row r="260">
      <c r="D260" s="13"/>
      <c r="F260" s="13"/>
      <c r="G260" s="13"/>
      <c r="H260" s="20"/>
    </row>
    <row r="261">
      <c r="D261" s="13"/>
      <c r="F261" s="13"/>
      <c r="G261" s="13"/>
      <c r="H261" s="20"/>
    </row>
    <row r="262">
      <c r="D262" s="13"/>
      <c r="F262" s="13"/>
      <c r="G262" s="13"/>
      <c r="H262" s="20"/>
    </row>
    <row r="263">
      <c r="D263" s="13"/>
      <c r="F263" s="13"/>
      <c r="G263" s="13"/>
      <c r="H263" s="20"/>
    </row>
    <row r="264">
      <c r="D264" s="13"/>
      <c r="F264" s="13"/>
      <c r="G264" s="13"/>
      <c r="H264" s="20"/>
    </row>
    <row r="265">
      <c r="D265" s="13"/>
      <c r="F265" s="13"/>
      <c r="G265" s="13"/>
      <c r="H265" s="20"/>
    </row>
    <row r="266">
      <c r="D266" s="13"/>
      <c r="F266" s="13"/>
      <c r="G266" s="13"/>
      <c r="H266" s="20"/>
    </row>
    <row r="267">
      <c r="D267" s="13"/>
      <c r="F267" s="13"/>
      <c r="G267" s="13"/>
      <c r="H267" s="20"/>
    </row>
    <row r="268">
      <c r="D268" s="13"/>
      <c r="F268" s="13"/>
      <c r="G268" s="13"/>
      <c r="H268" s="20"/>
    </row>
    <row r="269">
      <c r="D269" s="13"/>
      <c r="F269" s="13"/>
      <c r="G269" s="13"/>
      <c r="H269" s="20"/>
    </row>
    <row r="270">
      <c r="D270" s="13"/>
      <c r="F270" s="13"/>
      <c r="G270" s="13"/>
      <c r="H270" s="20"/>
    </row>
    <row r="271">
      <c r="D271" s="13"/>
      <c r="F271" s="13"/>
      <c r="G271" s="13"/>
      <c r="H271" s="20"/>
    </row>
    <row r="272">
      <c r="D272" s="13"/>
      <c r="F272" s="13"/>
      <c r="G272" s="13"/>
      <c r="H272" s="20"/>
    </row>
    <row r="273">
      <c r="D273" s="13"/>
      <c r="F273" s="13"/>
      <c r="G273" s="13"/>
      <c r="H273" s="20"/>
    </row>
    <row r="274">
      <c r="D274" s="13"/>
      <c r="F274" s="13"/>
      <c r="G274" s="13"/>
      <c r="H274" s="20"/>
    </row>
    <row r="275">
      <c r="D275" s="13"/>
      <c r="F275" s="13"/>
      <c r="G275" s="13"/>
      <c r="H275" s="20"/>
    </row>
    <row r="276">
      <c r="D276" s="13"/>
      <c r="F276" s="13"/>
      <c r="G276" s="13"/>
      <c r="H276" s="20"/>
    </row>
    <row r="277">
      <c r="D277" s="13"/>
      <c r="F277" s="13"/>
      <c r="G277" s="13"/>
      <c r="H277" s="20"/>
    </row>
    <row r="278">
      <c r="D278" s="13"/>
      <c r="F278" s="13"/>
      <c r="G278" s="13"/>
      <c r="H278" s="20"/>
    </row>
    <row r="279">
      <c r="D279" s="13"/>
      <c r="F279" s="13"/>
      <c r="G279" s="13"/>
      <c r="H279" s="20"/>
    </row>
    <row r="280">
      <c r="D280" s="13"/>
      <c r="F280" s="13"/>
      <c r="G280" s="13"/>
      <c r="H280" s="20"/>
    </row>
    <row r="281">
      <c r="D281" s="13"/>
      <c r="F281" s="13"/>
      <c r="G281" s="13"/>
      <c r="H281" s="20"/>
    </row>
    <row r="282">
      <c r="D282" s="13"/>
      <c r="F282" s="13"/>
      <c r="G282" s="13"/>
      <c r="H282" s="20"/>
    </row>
    <row r="283">
      <c r="D283" s="13"/>
      <c r="F283" s="13"/>
      <c r="G283" s="13"/>
      <c r="H283" s="20"/>
    </row>
    <row r="284">
      <c r="D284" s="13"/>
      <c r="F284" s="13"/>
      <c r="G284" s="13"/>
      <c r="H284" s="20"/>
    </row>
    <row r="285">
      <c r="D285" s="13"/>
      <c r="F285" s="13"/>
      <c r="G285" s="13"/>
      <c r="H285" s="20"/>
    </row>
    <row r="286">
      <c r="D286" s="13"/>
      <c r="F286" s="13"/>
      <c r="G286" s="13"/>
      <c r="H286" s="20"/>
    </row>
    <row r="287">
      <c r="D287" s="13"/>
      <c r="F287" s="13"/>
      <c r="G287" s="13"/>
      <c r="H287" s="20"/>
    </row>
    <row r="288">
      <c r="D288" s="13"/>
      <c r="F288" s="13"/>
      <c r="G288" s="13"/>
      <c r="H288" s="20"/>
    </row>
    <row r="289">
      <c r="D289" s="13"/>
      <c r="F289" s="13"/>
      <c r="G289" s="13"/>
      <c r="H289" s="20"/>
    </row>
    <row r="290">
      <c r="D290" s="13"/>
      <c r="F290" s="13"/>
      <c r="G290" s="13"/>
      <c r="H290" s="20"/>
    </row>
    <row r="291">
      <c r="D291" s="13"/>
      <c r="F291" s="13"/>
      <c r="G291" s="13"/>
      <c r="H291" s="20"/>
    </row>
    <row r="292">
      <c r="D292" s="13"/>
      <c r="F292" s="13"/>
      <c r="G292" s="13"/>
      <c r="H292" s="20"/>
    </row>
    <row r="293">
      <c r="D293" s="13"/>
      <c r="F293" s="13"/>
      <c r="G293" s="13"/>
      <c r="H293" s="20"/>
    </row>
    <row r="294">
      <c r="D294" s="13"/>
      <c r="F294" s="13"/>
      <c r="G294" s="13"/>
      <c r="H294" s="20"/>
    </row>
    <row r="295">
      <c r="D295" s="13"/>
      <c r="F295" s="13"/>
      <c r="G295" s="13"/>
      <c r="H295" s="20"/>
    </row>
    <row r="296">
      <c r="D296" s="13"/>
      <c r="F296" s="13"/>
      <c r="G296" s="13"/>
      <c r="H296" s="20"/>
    </row>
    <row r="297">
      <c r="D297" s="13"/>
      <c r="F297" s="13"/>
      <c r="G297" s="13"/>
      <c r="H297" s="20"/>
    </row>
    <row r="298">
      <c r="D298" s="13"/>
      <c r="F298" s="13"/>
      <c r="G298" s="13"/>
      <c r="H298" s="20"/>
    </row>
    <row r="299">
      <c r="D299" s="13"/>
      <c r="F299" s="13"/>
      <c r="G299" s="13"/>
      <c r="H299" s="20"/>
    </row>
    <row r="300">
      <c r="D300" s="13"/>
      <c r="F300" s="13"/>
      <c r="G300" s="13"/>
      <c r="H300" s="20"/>
    </row>
    <row r="301">
      <c r="D301" s="13"/>
      <c r="F301" s="13"/>
      <c r="G301" s="13"/>
      <c r="H301" s="20"/>
    </row>
    <row r="302">
      <c r="D302" s="13"/>
      <c r="F302" s="13"/>
      <c r="G302" s="13"/>
      <c r="H302" s="20"/>
    </row>
    <row r="303">
      <c r="D303" s="13"/>
      <c r="F303" s="13"/>
      <c r="G303" s="13"/>
      <c r="H303" s="20"/>
    </row>
    <row r="304">
      <c r="D304" s="13"/>
      <c r="F304" s="13"/>
      <c r="G304" s="13"/>
      <c r="H304" s="20"/>
    </row>
    <row r="305">
      <c r="D305" s="13"/>
      <c r="F305" s="13"/>
      <c r="G305" s="13"/>
      <c r="H305" s="20"/>
    </row>
    <row r="306">
      <c r="D306" s="13"/>
      <c r="F306" s="13"/>
      <c r="G306" s="13"/>
      <c r="H306" s="20"/>
    </row>
    <row r="307">
      <c r="D307" s="13"/>
      <c r="F307" s="13"/>
      <c r="G307" s="13"/>
      <c r="H307" s="20"/>
    </row>
    <row r="308">
      <c r="D308" s="13"/>
      <c r="F308" s="13"/>
      <c r="G308" s="13"/>
      <c r="H308" s="20"/>
    </row>
    <row r="309">
      <c r="D309" s="13"/>
      <c r="F309" s="13"/>
      <c r="G309" s="13"/>
      <c r="H309" s="20"/>
    </row>
    <row r="310">
      <c r="D310" s="13"/>
      <c r="F310" s="13"/>
      <c r="G310" s="13"/>
      <c r="H310" s="20"/>
    </row>
    <row r="311">
      <c r="D311" s="13"/>
      <c r="F311" s="13"/>
      <c r="G311" s="13"/>
      <c r="H311" s="20"/>
    </row>
    <row r="312">
      <c r="D312" s="13"/>
      <c r="F312" s="13"/>
      <c r="G312" s="13"/>
      <c r="H312" s="20"/>
    </row>
    <row r="313">
      <c r="D313" s="13"/>
      <c r="F313" s="13"/>
      <c r="G313" s="13"/>
      <c r="H313" s="20"/>
    </row>
    <row r="314">
      <c r="D314" s="13"/>
      <c r="F314" s="13"/>
      <c r="G314" s="13"/>
      <c r="H314" s="20"/>
    </row>
    <row r="315">
      <c r="D315" s="13"/>
      <c r="F315" s="13"/>
      <c r="G315" s="13"/>
      <c r="H315" s="20"/>
    </row>
    <row r="316">
      <c r="D316" s="13"/>
      <c r="F316" s="13"/>
      <c r="G316" s="13"/>
      <c r="H316" s="20"/>
    </row>
    <row r="317">
      <c r="D317" s="13"/>
      <c r="F317" s="13"/>
      <c r="G317" s="13"/>
      <c r="H317" s="20"/>
    </row>
    <row r="318">
      <c r="D318" s="13"/>
      <c r="F318" s="13"/>
      <c r="G318" s="13"/>
      <c r="H318" s="20"/>
    </row>
    <row r="319">
      <c r="D319" s="13"/>
      <c r="F319" s="13"/>
      <c r="G319" s="13"/>
      <c r="H319" s="20"/>
    </row>
    <row r="320">
      <c r="D320" s="13"/>
      <c r="F320" s="13"/>
      <c r="G320" s="13"/>
      <c r="H320" s="20"/>
    </row>
    <row r="321">
      <c r="D321" s="13"/>
      <c r="F321" s="13"/>
      <c r="G321" s="13"/>
      <c r="H321" s="20"/>
    </row>
    <row r="322">
      <c r="D322" s="13"/>
      <c r="F322" s="13"/>
      <c r="G322" s="13"/>
      <c r="H322" s="20"/>
    </row>
    <row r="323">
      <c r="D323" s="13"/>
      <c r="F323" s="13"/>
      <c r="G323" s="13"/>
      <c r="H323" s="20"/>
    </row>
    <row r="324">
      <c r="D324" s="13"/>
      <c r="F324" s="13"/>
      <c r="G324" s="13"/>
      <c r="H324" s="20"/>
    </row>
    <row r="325">
      <c r="D325" s="13"/>
      <c r="F325" s="13"/>
      <c r="G325" s="13"/>
      <c r="H325" s="20"/>
    </row>
    <row r="326">
      <c r="D326" s="13"/>
      <c r="F326" s="13"/>
      <c r="G326" s="13"/>
      <c r="H326" s="20"/>
    </row>
    <row r="327">
      <c r="D327" s="13"/>
      <c r="F327" s="13"/>
      <c r="G327" s="13"/>
      <c r="H327" s="20"/>
    </row>
    <row r="328">
      <c r="D328" s="13"/>
      <c r="F328" s="13"/>
      <c r="G328" s="13"/>
      <c r="H328" s="20"/>
    </row>
    <row r="329">
      <c r="D329" s="13"/>
      <c r="F329" s="13"/>
      <c r="G329" s="13"/>
      <c r="H329" s="20"/>
    </row>
    <row r="330">
      <c r="D330" s="13"/>
      <c r="F330" s="13"/>
      <c r="G330" s="13"/>
      <c r="H330" s="20"/>
    </row>
    <row r="331">
      <c r="D331" s="13"/>
      <c r="F331" s="13"/>
      <c r="G331" s="13"/>
      <c r="H331" s="20"/>
    </row>
    <row r="332">
      <c r="D332" s="13"/>
      <c r="F332" s="13"/>
      <c r="G332" s="13"/>
      <c r="H332" s="20"/>
    </row>
    <row r="333">
      <c r="D333" s="13"/>
      <c r="F333" s="13"/>
      <c r="G333" s="13"/>
      <c r="H333" s="20"/>
    </row>
    <row r="334">
      <c r="D334" s="13"/>
      <c r="F334" s="13"/>
      <c r="G334" s="13"/>
      <c r="H334" s="20"/>
    </row>
    <row r="335">
      <c r="D335" s="13"/>
      <c r="F335" s="13"/>
      <c r="G335" s="13"/>
      <c r="H335" s="20"/>
    </row>
    <row r="336">
      <c r="D336" s="13"/>
      <c r="F336" s="13"/>
      <c r="G336" s="13"/>
      <c r="H336" s="20"/>
    </row>
    <row r="337">
      <c r="D337" s="13"/>
      <c r="F337" s="13"/>
      <c r="G337" s="13"/>
      <c r="H337" s="20"/>
    </row>
    <row r="338">
      <c r="D338" s="13"/>
      <c r="F338" s="13"/>
      <c r="G338" s="13"/>
      <c r="H338" s="20"/>
    </row>
    <row r="339">
      <c r="D339" s="13"/>
      <c r="F339" s="13"/>
      <c r="G339" s="13"/>
      <c r="H339" s="20"/>
    </row>
    <row r="340">
      <c r="D340" s="13"/>
      <c r="F340" s="13"/>
      <c r="G340" s="13"/>
      <c r="H340" s="20"/>
    </row>
    <row r="341">
      <c r="D341" s="13"/>
      <c r="F341" s="13"/>
      <c r="G341" s="13"/>
      <c r="H341" s="20"/>
    </row>
    <row r="342">
      <c r="D342" s="13"/>
      <c r="F342" s="13"/>
      <c r="G342" s="13"/>
      <c r="H342" s="20"/>
    </row>
    <row r="343">
      <c r="D343" s="13"/>
      <c r="F343" s="13"/>
      <c r="G343" s="13"/>
      <c r="H343" s="20"/>
    </row>
    <row r="344">
      <c r="D344" s="13"/>
      <c r="F344" s="13"/>
      <c r="G344" s="13"/>
      <c r="H344" s="20"/>
    </row>
    <row r="345">
      <c r="D345" s="13"/>
      <c r="F345" s="13"/>
      <c r="G345" s="13"/>
      <c r="H345" s="20"/>
    </row>
    <row r="346">
      <c r="D346" s="13"/>
      <c r="F346" s="13"/>
      <c r="G346" s="13"/>
      <c r="H346" s="20"/>
    </row>
    <row r="347">
      <c r="D347" s="13"/>
      <c r="F347" s="13"/>
      <c r="G347" s="13"/>
      <c r="H347" s="20"/>
    </row>
    <row r="348">
      <c r="D348" s="13"/>
      <c r="F348" s="13"/>
      <c r="G348" s="13"/>
      <c r="H348" s="20"/>
    </row>
    <row r="349">
      <c r="D349" s="13"/>
      <c r="F349" s="13"/>
      <c r="G349" s="13"/>
      <c r="H349" s="20"/>
    </row>
    <row r="350">
      <c r="D350" s="13"/>
      <c r="F350" s="13"/>
      <c r="G350" s="13"/>
      <c r="H350" s="20"/>
    </row>
    <row r="351">
      <c r="D351" s="13"/>
      <c r="F351" s="13"/>
      <c r="G351" s="13"/>
      <c r="H351" s="20"/>
    </row>
    <row r="352">
      <c r="D352" s="13"/>
      <c r="F352" s="13"/>
      <c r="G352" s="13"/>
      <c r="H352" s="20"/>
    </row>
    <row r="353">
      <c r="D353" s="13"/>
      <c r="F353" s="13"/>
      <c r="G353" s="13"/>
      <c r="H353" s="20"/>
    </row>
    <row r="354">
      <c r="D354" s="13"/>
      <c r="F354" s="13"/>
      <c r="G354" s="13"/>
      <c r="H354" s="20"/>
    </row>
    <row r="355">
      <c r="D355" s="13"/>
      <c r="F355" s="13"/>
      <c r="G355" s="13"/>
      <c r="H355" s="20"/>
    </row>
    <row r="356">
      <c r="D356" s="13"/>
      <c r="F356" s="13"/>
      <c r="G356" s="13"/>
      <c r="H356" s="20"/>
    </row>
    <row r="357">
      <c r="D357" s="13"/>
      <c r="F357" s="13"/>
      <c r="G357" s="13"/>
      <c r="H357" s="20"/>
    </row>
    <row r="358">
      <c r="D358" s="13"/>
      <c r="F358" s="13"/>
      <c r="G358" s="13"/>
      <c r="H358" s="20"/>
    </row>
    <row r="359">
      <c r="D359" s="13"/>
      <c r="F359" s="13"/>
      <c r="G359" s="13"/>
      <c r="H359" s="20"/>
    </row>
    <row r="360">
      <c r="D360" s="13"/>
      <c r="F360" s="13"/>
      <c r="G360" s="13"/>
      <c r="H360" s="20"/>
    </row>
    <row r="361">
      <c r="D361" s="13"/>
      <c r="F361" s="13"/>
      <c r="G361" s="13"/>
      <c r="H361" s="20"/>
    </row>
    <row r="362">
      <c r="D362" s="13"/>
      <c r="F362" s="13"/>
      <c r="G362" s="13"/>
      <c r="H362" s="20"/>
    </row>
    <row r="363">
      <c r="D363" s="13"/>
      <c r="F363" s="13"/>
      <c r="G363" s="13"/>
      <c r="H363" s="20"/>
    </row>
    <row r="364">
      <c r="D364" s="13"/>
      <c r="F364" s="13"/>
      <c r="G364" s="13"/>
      <c r="H364" s="20"/>
    </row>
    <row r="365">
      <c r="D365" s="13"/>
      <c r="F365" s="13"/>
      <c r="G365" s="13"/>
      <c r="H365" s="20"/>
    </row>
    <row r="366">
      <c r="D366" s="13"/>
      <c r="F366" s="13"/>
      <c r="G366" s="13"/>
      <c r="H366" s="20"/>
    </row>
    <row r="367">
      <c r="D367" s="13"/>
      <c r="F367" s="13"/>
      <c r="G367" s="13"/>
      <c r="H367" s="20"/>
    </row>
    <row r="368">
      <c r="D368" s="13"/>
      <c r="F368" s="13"/>
      <c r="G368" s="13"/>
      <c r="H368" s="20"/>
    </row>
    <row r="369">
      <c r="D369" s="13"/>
      <c r="F369" s="13"/>
      <c r="G369" s="13"/>
      <c r="H369" s="20"/>
    </row>
    <row r="370">
      <c r="D370" s="13"/>
      <c r="F370" s="13"/>
      <c r="G370" s="13"/>
      <c r="H370" s="20"/>
    </row>
    <row r="371">
      <c r="D371" s="13"/>
      <c r="F371" s="13"/>
      <c r="G371" s="13"/>
      <c r="H371" s="20"/>
    </row>
    <row r="372">
      <c r="D372" s="13"/>
      <c r="F372" s="13"/>
      <c r="G372" s="13"/>
      <c r="H372" s="20"/>
    </row>
    <row r="373">
      <c r="D373" s="13"/>
      <c r="F373" s="13"/>
      <c r="G373" s="13"/>
      <c r="H373" s="20"/>
    </row>
    <row r="374">
      <c r="D374" s="13"/>
      <c r="F374" s="13"/>
      <c r="G374" s="13"/>
      <c r="H374" s="20"/>
    </row>
    <row r="375">
      <c r="D375" s="13"/>
      <c r="F375" s="13"/>
      <c r="G375" s="13"/>
      <c r="H375" s="20"/>
    </row>
    <row r="376">
      <c r="D376" s="13"/>
      <c r="F376" s="13"/>
      <c r="G376" s="13"/>
      <c r="H376" s="20"/>
    </row>
    <row r="377">
      <c r="D377" s="13"/>
      <c r="F377" s="13"/>
      <c r="G377" s="13"/>
      <c r="H377" s="20"/>
    </row>
    <row r="378">
      <c r="D378" s="13"/>
      <c r="F378" s="13"/>
      <c r="G378" s="13"/>
      <c r="H378" s="20"/>
    </row>
    <row r="379">
      <c r="D379" s="13"/>
      <c r="F379" s="13"/>
      <c r="G379" s="13"/>
      <c r="H379" s="20"/>
    </row>
    <row r="380">
      <c r="D380" s="13"/>
      <c r="F380" s="13"/>
      <c r="G380" s="13"/>
      <c r="H380" s="20"/>
    </row>
    <row r="381">
      <c r="D381" s="13"/>
      <c r="F381" s="13"/>
      <c r="G381" s="13"/>
      <c r="H381" s="20"/>
    </row>
    <row r="382">
      <c r="D382" s="13"/>
      <c r="F382" s="13"/>
      <c r="G382" s="13"/>
      <c r="H382" s="20"/>
    </row>
    <row r="383">
      <c r="D383" s="13"/>
      <c r="F383" s="13"/>
      <c r="G383" s="13"/>
      <c r="H383" s="20"/>
    </row>
    <row r="384">
      <c r="D384" s="13"/>
      <c r="F384" s="13"/>
      <c r="G384" s="13"/>
      <c r="H384" s="20"/>
    </row>
    <row r="385">
      <c r="D385" s="13"/>
      <c r="F385" s="13"/>
      <c r="G385" s="13"/>
      <c r="H385" s="20"/>
    </row>
    <row r="386">
      <c r="D386" s="13"/>
      <c r="F386" s="13"/>
      <c r="G386" s="13"/>
      <c r="H386" s="20"/>
    </row>
    <row r="387">
      <c r="D387" s="13"/>
      <c r="F387" s="13"/>
      <c r="G387" s="13"/>
      <c r="H387" s="20"/>
    </row>
    <row r="388">
      <c r="D388" s="13"/>
      <c r="F388" s="13"/>
      <c r="G388" s="13"/>
      <c r="H388" s="20"/>
    </row>
    <row r="389">
      <c r="D389" s="13"/>
      <c r="F389" s="13"/>
      <c r="G389" s="13"/>
      <c r="H389" s="20"/>
    </row>
    <row r="390">
      <c r="D390" s="13"/>
      <c r="F390" s="13"/>
      <c r="G390" s="13"/>
      <c r="H390" s="20"/>
    </row>
    <row r="391">
      <c r="D391" s="13"/>
      <c r="F391" s="13"/>
      <c r="G391" s="13"/>
      <c r="H391" s="20"/>
    </row>
    <row r="392">
      <c r="D392" s="13"/>
      <c r="F392" s="13"/>
      <c r="G392" s="13"/>
      <c r="H392" s="20"/>
    </row>
    <row r="393">
      <c r="D393" s="13"/>
      <c r="F393" s="13"/>
      <c r="G393" s="13"/>
      <c r="H393" s="20"/>
    </row>
    <row r="394">
      <c r="D394" s="13"/>
      <c r="F394" s="13"/>
      <c r="G394" s="13"/>
      <c r="H394" s="20"/>
    </row>
    <row r="395">
      <c r="D395" s="13"/>
      <c r="F395" s="13"/>
      <c r="G395" s="13"/>
      <c r="H395" s="20"/>
    </row>
    <row r="396">
      <c r="D396" s="13"/>
      <c r="F396" s="13"/>
      <c r="G396" s="13"/>
      <c r="H396" s="20"/>
    </row>
    <row r="397">
      <c r="D397" s="13"/>
      <c r="F397" s="13"/>
      <c r="G397" s="13"/>
      <c r="H397" s="20"/>
    </row>
    <row r="398">
      <c r="D398" s="13"/>
      <c r="F398" s="13"/>
      <c r="G398" s="13"/>
      <c r="H398" s="20"/>
    </row>
    <row r="399">
      <c r="D399" s="13"/>
      <c r="F399" s="13"/>
      <c r="G399" s="13"/>
      <c r="H399" s="20"/>
    </row>
    <row r="400">
      <c r="D400" s="13"/>
      <c r="F400" s="13"/>
      <c r="G400" s="13"/>
      <c r="H400" s="20"/>
    </row>
    <row r="401">
      <c r="D401" s="13"/>
      <c r="F401" s="13"/>
      <c r="G401" s="13"/>
      <c r="H401" s="20"/>
    </row>
    <row r="402">
      <c r="D402" s="13"/>
      <c r="F402" s="13"/>
      <c r="G402" s="13"/>
      <c r="H402" s="20"/>
    </row>
    <row r="403">
      <c r="D403" s="13"/>
      <c r="F403" s="13"/>
      <c r="G403" s="13"/>
      <c r="H403" s="20"/>
    </row>
    <row r="404">
      <c r="D404" s="13"/>
      <c r="F404" s="13"/>
      <c r="G404" s="13"/>
      <c r="H404" s="20"/>
    </row>
    <row r="405">
      <c r="D405" s="13"/>
      <c r="F405" s="13"/>
      <c r="G405" s="13"/>
      <c r="H405" s="20"/>
    </row>
    <row r="406">
      <c r="D406" s="13"/>
      <c r="F406" s="13"/>
      <c r="G406" s="13"/>
      <c r="H406" s="20"/>
    </row>
    <row r="407">
      <c r="D407" s="13"/>
      <c r="F407" s="13"/>
      <c r="G407" s="13"/>
      <c r="H407" s="20"/>
    </row>
    <row r="408">
      <c r="D408" s="13"/>
      <c r="F408" s="13"/>
      <c r="G408" s="13"/>
      <c r="H408" s="20"/>
    </row>
    <row r="409">
      <c r="D409" s="13"/>
      <c r="F409" s="13"/>
      <c r="G409" s="13"/>
      <c r="H409" s="20"/>
    </row>
    <row r="410">
      <c r="D410" s="13"/>
      <c r="F410" s="13"/>
      <c r="G410" s="13"/>
      <c r="H410" s="20"/>
    </row>
    <row r="411">
      <c r="D411" s="13"/>
      <c r="F411" s="13"/>
      <c r="G411" s="13"/>
      <c r="H411" s="20"/>
    </row>
    <row r="412">
      <c r="D412" s="13"/>
      <c r="F412" s="13"/>
      <c r="G412" s="13"/>
      <c r="H412" s="20"/>
    </row>
    <row r="413">
      <c r="D413" s="13"/>
      <c r="F413" s="13"/>
      <c r="G413" s="13"/>
      <c r="H413" s="20"/>
    </row>
    <row r="414">
      <c r="D414" s="13"/>
      <c r="F414" s="13"/>
      <c r="G414" s="13"/>
      <c r="H414" s="20"/>
    </row>
    <row r="415">
      <c r="D415" s="13"/>
      <c r="F415" s="13"/>
      <c r="G415" s="13"/>
      <c r="H415" s="20"/>
    </row>
    <row r="416">
      <c r="D416" s="13"/>
      <c r="F416" s="13"/>
      <c r="G416" s="13"/>
      <c r="H416" s="20"/>
    </row>
    <row r="417">
      <c r="D417" s="13"/>
      <c r="F417" s="13"/>
      <c r="G417" s="13"/>
      <c r="H417" s="20"/>
    </row>
    <row r="418">
      <c r="D418" s="13"/>
      <c r="F418" s="13"/>
      <c r="G418" s="13"/>
      <c r="H418" s="20"/>
    </row>
    <row r="419">
      <c r="D419" s="13"/>
      <c r="F419" s="13"/>
      <c r="G419" s="13"/>
      <c r="H419" s="20"/>
    </row>
    <row r="420">
      <c r="D420" s="13"/>
      <c r="F420" s="13"/>
      <c r="G420" s="13"/>
      <c r="H420" s="20"/>
    </row>
    <row r="421">
      <c r="D421" s="13"/>
      <c r="F421" s="13"/>
      <c r="G421" s="13"/>
      <c r="H421" s="20"/>
    </row>
    <row r="422">
      <c r="D422" s="13"/>
      <c r="F422" s="13"/>
      <c r="G422" s="13"/>
      <c r="H422" s="20"/>
    </row>
    <row r="423">
      <c r="D423" s="13"/>
      <c r="F423" s="13"/>
      <c r="G423" s="13"/>
      <c r="H423" s="20"/>
    </row>
    <row r="424">
      <c r="D424" s="13"/>
      <c r="F424" s="13"/>
      <c r="G424" s="13"/>
      <c r="H424" s="20"/>
    </row>
    <row r="425">
      <c r="D425" s="13"/>
      <c r="F425" s="13"/>
      <c r="G425" s="13"/>
      <c r="H425" s="20"/>
    </row>
    <row r="426">
      <c r="D426" s="13"/>
      <c r="F426" s="13"/>
      <c r="G426" s="13"/>
      <c r="H426" s="20"/>
    </row>
    <row r="427">
      <c r="D427" s="13"/>
      <c r="F427" s="13"/>
      <c r="G427" s="13"/>
      <c r="H427" s="20"/>
    </row>
    <row r="428">
      <c r="D428" s="13"/>
      <c r="F428" s="13"/>
      <c r="G428" s="13"/>
      <c r="H428" s="20"/>
    </row>
    <row r="429">
      <c r="D429" s="13"/>
      <c r="F429" s="13"/>
      <c r="G429" s="13"/>
      <c r="H429" s="20"/>
    </row>
    <row r="430">
      <c r="D430" s="13"/>
      <c r="F430" s="13"/>
      <c r="G430" s="13"/>
      <c r="H430" s="20"/>
    </row>
    <row r="431">
      <c r="D431" s="13"/>
      <c r="F431" s="13"/>
      <c r="G431" s="13"/>
      <c r="H431" s="20"/>
    </row>
    <row r="432">
      <c r="D432" s="13"/>
      <c r="F432" s="13"/>
      <c r="G432" s="13"/>
      <c r="H432" s="20"/>
    </row>
    <row r="433">
      <c r="D433" s="13"/>
      <c r="F433" s="13"/>
      <c r="G433" s="13"/>
      <c r="H433" s="20"/>
    </row>
    <row r="434">
      <c r="D434" s="13"/>
      <c r="F434" s="13"/>
      <c r="G434" s="13"/>
      <c r="H434" s="20"/>
    </row>
    <row r="435">
      <c r="D435" s="13"/>
      <c r="F435" s="13"/>
      <c r="G435" s="13"/>
      <c r="H435" s="20"/>
    </row>
    <row r="436">
      <c r="D436" s="13"/>
      <c r="F436" s="13"/>
      <c r="G436" s="13"/>
      <c r="H436" s="20"/>
    </row>
    <row r="437">
      <c r="D437" s="13"/>
      <c r="F437" s="13"/>
      <c r="G437" s="13"/>
      <c r="H437" s="20"/>
    </row>
    <row r="438">
      <c r="D438" s="13"/>
      <c r="F438" s="13"/>
      <c r="G438" s="13"/>
      <c r="H438" s="20"/>
    </row>
    <row r="439">
      <c r="D439" s="13"/>
      <c r="F439" s="13"/>
      <c r="G439" s="13"/>
      <c r="H439" s="20"/>
    </row>
    <row r="440">
      <c r="D440" s="13"/>
      <c r="F440" s="13"/>
      <c r="G440" s="13"/>
      <c r="H440" s="20"/>
    </row>
    <row r="441">
      <c r="D441" s="13"/>
      <c r="F441" s="13"/>
      <c r="G441" s="13"/>
      <c r="H441" s="20"/>
    </row>
    <row r="442">
      <c r="D442" s="13"/>
      <c r="F442" s="13"/>
      <c r="G442" s="13"/>
      <c r="H442" s="20"/>
    </row>
    <row r="443">
      <c r="D443" s="13"/>
      <c r="F443" s="13"/>
      <c r="G443" s="13"/>
      <c r="H443" s="20"/>
    </row>
    <row r="444">
      <c r="D444" s="13"/>
      <c r="F444" s="13"/>
      <c r="G444" s="13"/>
      <c r="H444" s="20"/>
    </row>
    <row r="445">
      <c r="D445" s="13"/>
      <c r="F445" s="13"/>
      <c r="G445" s="13"/>
      <c r="H445" s="20"/>
    </row>
    <row r="446">
      <c r="D446" s="13"/>
      <c r="F446" s="13"/>
      <c r="G446" s="13"/>
      <c r="H446" s="20"/>
    </row>
    <row r="447">
      <c r="D447" s="13"/>
      <c r="F447" s="13"/>
      <c r="G447" s="13"/>
      <c r="H447" s="20"/>
    </row>
    <row r="448">
      <c r="D448" s="13"/>
      <c r="F448" s="13"/>
      <c r="G448" s="13"/>
      <c r="H448" s="20"/>
    </row>
    <row r="449">
      <c r="D449" s="13"/>
      <c r="F449" s="13"/>
      <c r="G449" s="13"/>
      <c r="H449" s="20"/>
    </row>
    <row r="450">
      <c r="D450" s="13"/>
      <c r="F450" s="13"/>
      <c r="G450" s="13"/>
      <c r="H450" s="20"/>
    </row>
    <row r="451">
      <c r="D451" s="13"/>
      <c r="F451" s="13"/>
      <c r="G451" s="13"/>
      <c r="H451" s="20"/>
    </row>
    <row r="452">
      <c r="D452" s="13"/>
      <c r="F452" s="13"/>
      <c r="G452" s="13"/>
      <c r="H452" s="20"/>
    </row>
    <row r="453">
      <c r="D453" s="13"/>
      <c r="F453" s="13"/>
      <c r="G453" s="13"/>
      <c r="H453" s="20"/>
    </row>
    <row r="454">
      <c r="D454" s="13"/>
      <c r="F454" s="13"/>
      <c r="G454" s="13"/>
      <c r="H454" s="20"/>
    </row>
    <row r="455">
      <c r="D455" s="13"/>
      <c r="F455" s="13"/>
      <c r="G455" s="13"/>
      <c r="H455" s="20"/>
    </row>
    <row r="456">
      <c r="D456" s="13"/>
      <c r="F456" s="13"/>
      <c r="G456" s="13"/>
      <c r="H456" s="20"/>
    </row>
    <row r="457">
      <c r="D457" s="13"/>
      <c r="F457" s="13"/>
      <c r="G457" s="13"/>
      <c r="H457" s="20"/>
    </row>
    <row r="458">
      <c r="D458" s="13"/>
      <c r="F458" s="13"/>
      <c r="G458" s="13"/>
      <c r="H458" s="20"/>
    </row>
    <row r="459">
      <c r="D459" s="13"/>
      <c r="F459" s="13"/>
      <c r="G459" s="13"/>
      <c r="H459" s="20"/>
    </row>
    <row r="460">
      <c r="D460" s="13"/>
      <c r="F460" s="13"/>
      <c r="G460" s="13"/>
      <c r="H460" s="20"/>
    </row>
    <row r="461">
      <c r="D461" s="13"/>
      <c r="F461" s="13"/>
      <c r="G461" s="13"/>
      <c r="H461" s="20"/>
    </row>
    <row r="462">
      <c r="D462" s="13"/>
      <c r="F462" s="13"/>
      <c r="G462" s="13"/>
      <c r="H462" s="20"/>
    </row>
    <row r="463">
      <c r="D463" s="13"/>
      <c r="F463" s="13"/>
      <c r="G463" s="13"/>
      <c r="H463" s="20"/>
    </row>
    <row r="464">
      <c r="D464" s="13"/>
      <c r="F464" s="13"/>
      <c r="G464" s="13"/>
      <c r="H464" s="20"/>
    </row>
    <row r="465">
      <c r="D465" s="13"/>
      <c r="F465" s="13"/>
      <c r="G465" s="13"/>
      <c r="H465" s="20"/>
    </row>
    <row r="466">
      <c r="D466" s="13"/>
      <c r="F466" s="13"/>
      <c r="G466" s="13"/>
      <c r="H466" s="20"/>
    </row>
    <row r="467">
      <c r="D467" s="13"/>
      <c r="F467" s="13"/>
      <c r="G467" s="13"/>
      <c r="H467" s="20"/>
    </row>
    <row r="468">
      <c r="D468" s="13"/>
      <c r="F468" s="13"/>
      <c r="G468" s="13"/>
      <c r="H468" s="20"/>
    </row>
    <row r="469">
      <c r="D469" s="13"/>
      <c r="F469" s="13"/>
      <c r="G469" s="13"/>
      <c r="H469" s="20"/>
    </row>
    <row r="470">
      <c r="D470" s="13"/>
      <c r="F470" s="13"/>
      <c r="G470" s="13"/>
      <c r="H470" s="20"/>
    </row>
    <row r="471">
      <c r="D471" s="13"/>
      <c r="F471" s="13"/>
      <c r="G471" s="13"/>
      <c r="H471" s="20"/>
    </row>
    <row r="472">
      <c r="D472" s="13"/>
      <c r="F472" s="13"/>
      <c r="G472" s="13"/>
      <c r="H472" s="20"/>
    </row>
    <row r="473">
      <c r="D473" s="13"/>
      <c r="F473" s="13"/>
      <c r="G473" s="13"/>
      <c r="H473" s="20"/>
    </row>
    <row r="474">
      <c r="D474" s="13"/>
      <c r="F474" s="13"/>
      <c r="G474" s="13"/>
      <c r="H474" s="20"/>
    </row>
    <row r="475">
      <c r="D475" s="13"/>
      <c r="F475" s="13"/>
      <c r="G475" s="13"/>
      <c r="H475" s="20"/>
    </row>
    <row r="476">
      <c r="D476" s="13"/>
      <c r="F476" s="13"/>
      <c r="G476" s="13"/>
      <c r="H476" s="20"/>
    </row>
    <row r="477">
      <c r="D477" s="13"/>
      <c r="F477" s="13"/>
      <c r="G477" s="13"/>
      <c r="H477" s="20"/>
    </row>
    <row r="478">
      <c r="D478" s="13"/>
      <c r="F478" s="13"/>
      <c r="G478" s="13"/>
      <c r="H478" s="20"/>
    </row>
    <row r="479">
      <c r="D479" s="13"/>
      <c r="F479" s="13"/>
      <c r="G479" s="13"/>
      <c r="H479" s="20"/>
    </row>
    <row r="480">
      <c r="D480" s="13"/>
      <c r="F480" s="13"/>
      <c r="G480" s="13"/>
      <c r="H480" s="20"/>
    </row>
    <row r="481">
      <c r="D481" s="13"/>
      <c r="F481" s="13"/>
      <c r="G481" s="13"/>
      <c r="H481" s="20"/>
    </row>
    <row r="482">
      <c r="D482" s="13"/>
      <c r="F482" s="13"/>
      <c r="G482" s="13"/>
      <c r="H482" s="20"/>
    </row>
    <row r="483">
      <c r="D483" s="13"/>
      <c r="F483" s="13"/>
      <c r="G483" s="13"/>
      <c r="H483" s="20"/>
    </row>
    <row r="484">
      <c r="D484" s="13"/>
      <c r="F484" s="13"/>
      <c r="G484" s="13"/>
      <c r="H484" s="20"/>
    </row>
    <row r="485">
      <c r="D485" s="13"/>
      <c r="F485" s="13"/>
      <c r="G485" s="13"/>
      <c r="H485" s="20"/>
    </row>
    <row r="486">
      <c r="D486" s="13"/>
      <c r="F486" s="13"/>
      <c r="G486" s="13"/>
      <c r="H486" s="20"/>
    </row>
    <row r="487">
      <c r="D487" s="13"/>
      <c r="F487" s="13"/>
      <c r="G487" s="13"/>
      <c r="H487" s="20"/>
    </row>
    <row r="488">
      <c r="D488" s="13"/>
      <c r="F488" s="13"/>
      <c r="G488" s="13"/>
      <c r="H488" s="20"/>
    </row>
    <row r="489">
      <c r="D489" s="13"/>
      <c r="F489" s="13"/>
      <c r="G489" s="13"/>
      <c r="H489" s="20"/>
    </row>
    <row r="490">
      <c r="D490" s="13"/>
      <c r="F490" s="13"/>
      <c r="G490" s="13"/>
      <c r="H490" s="20"/>
    </row>
    <row r="491">
      <c r="D491" s="13"/>
      <c r="F491" s="13"/>
      <c r="G491" s="13"/>
      <c r="H491" s="20"/>
    </row>
    <row r="492">
      <c r="D492" s="13"/>
      <c r="F492" s="13"/>
      <c r="G492" s="13"/>
      <c r="H492" s="20"/>
    </row>
    <row r="493">
      <c r="D493" s="13"/>
      <c r="F493" s="13"/>
      <c r="G493" s="13"/>
      <c r="H493" s="20"/>
    </row>
    <row r="494">
      <c r="D494" s="13"/>
      <c r="F494" s="13"/>
      <c r="G494" s="13"/>
      <c r="H494" s="20"/>
    </row>
    <row r="495">
      <c r="D495" s="13"/>
      <c r="F495" s="13"/>
      <c r="G495" s="13"/>
      <c r="H495" s="20"/>
    </row>
    <row r="496">
      <c r="D496" s="13"/>
      <c r="F496" s="13"/>
      <c r="G496" s="13"/>
      <c r="H496" s="20"/>
    </row>
    <row r="497">
      <c r="D497" s="13"/>
      <c r="F497" s="13"/>
      <c r="G497" s="13"/>
      <c r="H497" s="20"/>
    </row>
    <row r="498">
      <c r="D498" s="13"/>
      <c r="F498" s="13"/>
      <c r="G498" s="13"/>
      <c r="H498" s="20"/>
    </row>
    <row r="499">
      <c r="D499" s="13"/>
      <c r="F499" s="13"/>
      <c r="G499" s="13"/>
      <c r="H499" s="20"/>
    </row>
    <row r="500">
      <c r="D500" s="13"/>
      <c r="F500" s="13"/>
      <c r="G500" s="13"/>
      <c r="H500" s="20"/>
    </row>
    <row r="501">
      <c r="D501" s="13"/>
      <c r="F501" s="13"/>
      <c r="G501" s="13"/>
      <c r="H501" s="20"/>
    </row>
    <row r="502">
      <c r="D502" s="13"/>
      <c r="F502" s="13"/>
      <c r="G502" s="13"/>
      <c r="H502" s="20"/>
    </row>
    <row r="503">
      <c r="D503" s="13"/>
      <c r="F503" s="13"/>
      <c r="G503" s="13"/>
      <c r="H503" s="20"/>
    </row>
    <row r="504">
      <c r="D504" s="13"/>
      <c r="F504" s="13"/>
      <c r="G504" s="13"/>
      <c r="H504" s="20"/>
    </row>
    <row r="505">
      <c r="D505" s="13"/>
      <c r="F505" s="13"/>
      <c r="G505" s="13"/>
      <c r="H505" s="20"/>
    </row>
    <row r="506">
      <c r="D506" s="13"/>
      <c r="F506" s="13"/>
      <c r="G506" s="13"/>
      <c r="H506" s="20"/>
    </row>
    <row r="507">
      <c r="D507" s="13"/>
      <c r="F507" s="13"/>
      <c r="G507" s="13"/>
      <c r="H507" s="20"/>
    </row>
    <row r="508">
      <c r="D508" s="13"/>
      <c r="F508" s="13"/>
      <c r="G508" s="13"/>
      <c r="H508" s="20"/>
    </row>
    <row r="509">
      <c r="D509" s="13"/>
      <c r="F509" s="13"/>
      <c r="G509" s="13"/>
      <c r="H509" s="20"/>
    </row>
    <row r="510">
      <c r="D510" s="13"/>
      <c r="F510" s="13"/>
      <c r="G510" s="13"/>
      <c r="H510" s="20"/>
    </row>
    <row r="511">
      <c r="D511" s="13"/>
      <c r="F511" s="13"/>
      <c r="G511" s="13"/>
      <c r="H511" s="20"/>
    </row>
    <row r="512">
      <c r="D512" s="13"/>
      <c r="F512" s="13"/>
      <c r="G512" s="13"/>
      <c r="H512" s="20"/>
    </row>
    <row r="513">
      <c r="D513" s="13"/>
      <c r="F513" s="13"/>
      <c r="G513" s="13"/>
      <c r="H513" s="20"/>
    </row>
    <row r="514">
      <c r="D514" s="13"/>
      <c r="F514" s="13"/>
      <c r="G514" s="13"/>
      <c r="H514" s="20"/>
    </row>
    <row r="515">
      <c r="D515" s="13"/>
      <c r="F515" s="13"/>
      <c r="G515" s="13"/>
      <c r="H515" s="20"/>
    </row>
    <row r="516">
      <c r="D516" s="13"/>
      <c r="F516" s="13"/>
      <c r="G516" s="13"/>
      <c r="H516" s="20"/>
    </row>
    <row r="517">
      <c r="D517" s="13"/>
      <c r="F517" s="13"/>
      <c r="G517" s="13"/>
      <c r="H517" s="20"/>
    </row>
    <row r="518">
      <c r="D518" s="13"/>
      <c r="F518" s="13"/>
      <c r="G518" s="13"/>
      <c r="H518" s="20"/>
    </row>
    <row r="519">
      <c r="D519" s="13"/>
      <c r="F519" s="13"/>
      <c r="G519" s="13"/>
      <c r="H519" s="20"/>
    </row>
    <row r="520">
      <c r="D520" s="13"/>
      <c r="F520" s="13"/>
      <c r="G520" s="13"/>
      <c r="H520" s="20"/>
    </row>
    <row r="521">
      <c r="D521" s="13"/>
      <c r="F521" s="13"/>
      <c r="G521" s="13"/>
      <c r="H521" s="20"/>
    </row>
    <row r="522">
      <c r="D522" s="13"/>
      <c r="F522" s="13"/>
      <c r="G522" s="13"/>
      <c r="H522" s="20"/>
    </row>
    <row r="523">
      <c r="D523" s="13"/>
      <c r="F523" s="13"/>
      <c r="G523" s="13"/>
      <c r="H523" s="20"/>
    </row>
    <row r="524">
      <c r="D524" s="13"/>
      <c r="F524" s="13"/>
      <c r="G524" s="13"/>
      <c r="H524" s="20"/>
    </row>
    <row r="525">
      <c r="D525" s="13"/>
      <c r="F525" s="13"/>
      <c r="G525" s="13"/>
      <c r="H525" s="20"/>
    </row>
    <row r="526">
      <c r="D526" s="13"/>
      <c r="F526" s="13"/>
      <c r="G526" s="13"/>
      <c r="H526" s="20"/>
    </row>
    <row r="527">
      <c r="D527" s="13"/>
      <c r="F527" s="13"/>
      <c r="G527" s="13"/>
      <c r="H527" s="20"/>
    </row>
    <row r="528">
      <c r="D528" s="13"/>
      <c r="F528" s="13"/>
      <c r="G528" s="13"/>
      <c r="H528" s="20"/>
    </row>
    <row r="529">
      <c r="D529" s="13"/>
      <c r="F529" s="13"/>
      <c r="G529" s="13"/>
      <c r="H529" s="20"/>
    </row>
    <row r="530">
      <c r="D530" s="13"/>
      <c r="F530" s="13"/>
      <c r="G530" s="13"/>
      <c r="H530" s="20"/>
    </row>
    <row r="531">
      <c r="D531" s="13"/>
      <c r="F531" s="13"/>
      <c r="G531" s="13"/>
      <c r="H531" s="20"/>
    </row>
    <row r="532">
      <c r="D532" s="13"/>
      <c r="F532" s="13"/>
      <c r="G532" s="13"/>
      <c r="H532" s="20"/>
    </row>
    <row r="533">
      <c r="D533" s="13"/>
      <c r="F533" s="13"/>
      <c r="G533" s="13"/>
      <c r="H533" s="20"/>
    </row>
    <row r="534">
      <c r="D534" s="13"/>
      <c r="F534" s="13"/>
      <c r="G534" s="13"/>
      <c r="H534" s="20"/>
    </row>
    <row r="535">
      <c r="D535" s="13"/>
      <c r="F535" s="13"/>
      <c r="G535" s="13"/>
      <c r="H535" s="20"/>
    </row>
    <row r="536">
      <c r="D536" s="13"/>
      <c r="F536" s="13"/>
      <c r="G536" s="13"/>
      <c r="H536" s="20"/>
    </row>
    <row r="537">
      <c r="D537" s="13"/>
      <c r="F537" s="13"/>
      <c r="G537" s="13"/>
      <c r="H537" s="20"/>
    </row>
    <row r="538">
      <c r="D538" s="13"/>
      <c r="F538" s="13"/>
      <c r="G538" s="13"/>
      <c r="H538" s="20"/>
    </row>
    <row r="539">
      <c r="D539" s="13"/>
      <c r="F539" s="13"/>
      <c r="G539" s="13"/>
      <c r="H539" s="20"/>
    </row>
    <row r="540">
      <c r="D540" s="13"/>
      <c r="F540" s="13"/>
      <c r="G540" s="13"/>
      <c r="H540" s="20"/>
    </row>
    <row r="541">
      <c r="D541" s="13"/>
      <c r="F541" s="13"/>
      <c r="G541" s="13"/>
      <c r="H541" s="20"/>
    </row>
    <row r="542">
      <c r="D542" s="13"/>
      <c r="F542" s="13"/>
      <c r="G542" s="13"/>
      <c r="H542" s="20"/>
    </row>
    <row r="543">
      <c r="D543" s="13"/>
      <c r="F543" s="13"/>
      <c r="G543" s="13"/>
      <c r="H543" s="20"/>
    </row>
    <row r="544">
      <c r="D544" s="13"/>
      <c r="F544" s="13"/>
      <c r="G544" s="13"/>
      <c r="H544" s="20"/>
    </row>
    <row r="545">
      <c r="D545" s="13"/>
      <c r="F545" s="13"/>
      <c r="G545" s="13"/>
      <c r="H545" s="20"/>
    </row>
    <row r="546">
      <c r="D546" s="13"/>
      <c r="F546" s="13"/>
      <c r="G546" s="13"/>
      <c r="H546" s="20"/>
    </row>
    <row r="547">
      <c r="D547" s="13"/>
      <c r="F547" s="13"/>
      <c r="G547" s="13"/>
      <c r="H547" s="20"/>
    </row>
    <row r="548">
      <c r="D548" s="13"/>
      <c r="F548" s="13"/>
      <c r="G548" s="13"/>
      <c r="H548" s="20"/>
    </row>
    <row r="549">
      <c r="D549" s="13"/>
      <c r="F549" s="13"/>
      <c r="G549" s="13"/>
      <c r="H549" s="20"/>
    </row>
    <row r="550">
      <c r="D550" s="13"/>
      <c r="F550" s="13"/>
      <c r="G550" s="13"/>
      <c r="H550" s="20"/>
    </row>
    <row r="551">
      <c r="D551" s="13"/>
      <c r="F551" s="13"/>
      <c r="G551" s="13"/>
      <c r="H551" s="20"/>
    </row>
    <row r="552">
      <c r="D552" s="13"/>
      <c r="F552" s="13"/>
      <c r="G552" s="13"/>
      <c r="H552" s="20"/>
    </row>
    <row r="553">
      <c r="D553" s="13"/>
      <c r="F553" s="13"/>
      <c r="G553" s="13"/>
      <c r="H553" s="20"/>
    </row>
    <row r="554">
      <c r="D554" s="13"/>
      <c r="F554" s="13"/>
      <c r="G554" s="13"/>
      <c r="H554" s="20"/>
    </row>
    <row r="555">
      <c r="D555" s="13"/>
      <c r="F555" s="13"/>
      <c r="G555" s="13"/>
      <c r="H555" s="20"/>
    </row>
    <row r="556">
      <c r="D556" s="13"/>
      <c r="F556" s="13"/>
      <c r="G556" s="13"/>
      <c r="H556" s="20"/>
    </row>
    <row r="557">
      <c r="D557" s="13"/>
      <c r="F557" s="13"/>
      <c r="G557" s="13"/>
      <c r="H557" s="20"/>
    </row>
    <row r="558">
      <c r="D558" s="13"/>
      <c r="F558" s="13"/>
      <c r="G558" s="13"/>
      <c r="H558" s="20"/>
    </row>
    <row r="559">
      <c r="D559" s="13"/>
      <c r="F559" s="13"/>
      <c r="G559" s="13"/>
      <c r="H559" s="20"/>
    </row>
    <row r="560">
      <c r="D560" s="13"/>
      <c r="F560" s="13"/>
      <c r="G560" s="13"/>
      <c r="H560" s="20"/>
    </row>
    <row r="561">
      <c r="D561" s="13"/>
      <c r="F561" s="13"/>
      <c r="G561" s="13"/>
      <c r="H561" s="20"/>
    </row>
    <row r="562">
      <c r="D562" s="13"/>
      <c r="F562" s="13"/>
      <c r="G562" s="13"/>
      <c r="H562" s="20"/>
    </row>
    <row r="563">
      <c r="D563" s="13"/>
      <c r="F563" s="13"/>
      <c r="G563" s="13"/>
      <c r="H563" s="20"/>
    </row>
    <row r="564">
      <c r="D564" s="13"/>
      <c r="F564" s="13"/>
      <c r="G564" s="13"/>
      <c r="H564" s="20"/>
    </row>
    <row r="565">
      <c r="D565" s="13"/>
      <c r="F565" s="13"/>
      <c r="G565" s="13"/>
      <c r="H565" s="20"/>
    </row>
    <row r="566">
      <c r="D566" s="13"/>
      <c r="F566" s="13"/>
      <c r="G566" s="13"/>
      <c r="H566" s="20"/>
    </row>
    <row r="567">
      <c r="D567" s="13"/>
      <c r="F567" s="13"/>
      <c r="G567" s="13"/>
      <c r="H567" s="20"/>
    </row>
    <row r="568">
      <c r="D568" s="13"/>
      <c r="F568" s="13"/>
      <c r="G568" s="13"/>
      <c r="H568" s="20"/>
    </row>
    <row r="569">
      <c r="D569" s="13"/>
      <c r="F569" s="13"/>
      <c r="G569" s="13"/>
      <c r="H569" s="20"/>
    </row>
    <row r="570">
      <c r="D570" s="13"/>
      <c r="F570" s="13"/>
      <c r="G570" s="13"/>
      <c r="H570" s="20"/>
    </row>
    <row r="571">
      <c r="D571" s="13"/>
      <c r="F571" s="13"/>
      <c r="G571" s="13"/>
      <c r="H571" s="20"/>
    </row>
    <row r="572">
      <c r="D572" s="13"/>
      <c r="F572" s="13"/>
      <c r="G572" s="13"/>
      <c r="H572" s="20"/>
    </row>
    <row r="573">
      <c r="D573" s="13"/>
      <c r="F573" s="13"/>
      <c r="G573" s="13"/>
      <c r="H573" s="20"/>
    </row>
    <row r="574">
      <c r="D574" s="13"/>
      <c r="F574" s="13"/>
      <c r="G574" s="13"/>
      <c r="H574" s="20"/>
    </row>
    <row r="575">
      <c r="D575" s="13"/>
      <c r="F575" s="13"/>
      <c r="G575" s="13"/>
      <c r="H575" s="20"/>
    </row>
    <row r="576">
      <c r="D576" s="13"/>
      <c r="F576" s="13"/>
      <c r="G576" s="13"/>
      <c r="H576" s="20"/>
    </row>
    <row r="577">
      <c r="D577" s="13"/>
      <c r="F577" s="13"/>
      <c r="G577" s="13"/>
      <c r="H577" s="20"/>
    </row>
    <row r="578">
      <c r="D578" s="13"/>
      <c r="F578" s="13"/>
      <c r="G578" s="13"/>
      <c r="H578" s="20"/>
    </row>
    <row r="579">
      <c r="D579" s="13"/>
      <c r="F579" s="13"/>
      <c r="G579" s="13"/>
      <c r="H579" s="20"/>
    </row>
    <row r="580">
      <c r="D580" s="13"/>
      <c r="F580" s="13"/>
      <c r="G580" s="13"/>
      <c r="H580" s="20"/>
    </row>
    <row r="581">
      <c r="D581" s="13"/>
      <c r="F581" s="13"/>
      <c r="G581" s="13"/>
      <c r="H581" s="20"/>
    </row>
    <row r="582">
      <c r="D582" s="13"/>
      <c r="F582" s="13"/>
      <c r="G582" s="13"/>
      <c r="H582" s="20"/>
    </row>
    <row r="583">
      <c r="D583" s="13"/>
      <c r="F583" s="13"/>
      <c r="G583" s="13"/>
      <c r="H583" s="20"/>
    </row>
    <row r="584">
      <c r="D584" s="13"/>
      <c r="F584" s="13"/>
      <c r="G584" s="13"/>
      <c r="H584" s="20"/>
    </row>
    <row r="585">
      <c r="D585" s="13"/>
      <c r="F585" s="13"/>
      <c r="G585" s="13"/>
      <c r="H585" s="20"/>
    </row>
    <row r="586">
      <c r="D586" s="13"/>
      <c r="F586" s="13"/>
      <c r="G586" s="13"/>
      <c r="H586" s="20"/>
    </row>
    <row r="587">
      <c r="D587" s="13"/>
      <c r="F587" s="13"/>
      <c r="G587" s="13"/>
      <c r="H587" s="20"/>
    </row>
    <row r="588">
      <c r="D588" s="13"/>
      <c r="F588" s="13"/>
      <c r="G588" s="13"/>
      <c r="H588" s="20"/>
    </row>
    <row r="589">
      <c r="D589" s="13"/>
      <c r="F589" s="13"/>
      <c r="G589" s="13"/>
      <c r="H589" s="20"/>
    </row>
    <row r="590">
      <c r="D590" s="13"/>
      <c r="F590" s="13"/>
      <c r="G590" s="13"/>
      <c r="H590" s="20"/>
    </row>
    <row r="591">
      <c r="D591" s="13"/>
      <c r="F591" s="13"/>
      <c r="G591" s="13"/>
      <c r="H591" s="20"/>
    </row>
    <row r="592">
      <c r="D592" s="13"/>
      <c r="F592" s="13"/>
      <c r="G592" s="13"/>
      <c r="H592" s="20"/>
    </row>
    <row r="593">
      <c r="D593" s="13"/>
      <c r="F593" s="13"/>
      <c r="G593" s="13"/>
      <c r="H593" s="20"/>
    </row>
    <row r="594">
      <c r="D594" s="13"/>
      <c r="F594" s="13"/>
      <c r="G594" s="13"/>
      <c r="H594" s="20"/>
    </row>
    <row r="595">
      <c r="D595" s="13"/>
      <c r="F595" s="13"/>
      <c r="G595" s="13"/>
      <c r="H595" s="20"/>
    </row>
    <row r="596">
      <c r="D596" s="13"/>
      <c r="F596" s="13"/>
      <c r="G596" s="13"/>
      <c r="H596" s="20"/>
    </row>
    <row r="597">
      <c r="D597" s="13"/>
      <c r="F597" s="13"/>
      <c r="G597" s="13"/>
      <c r="H597" s="20"/>
    </row>
    <row r="598">
      <c r="D598" s="13"/>
      <c r="F598" s="13"/>
      <c r="G598" s="13"/>
      <c r="H598" s="20"/>
    </row>
    <row r="599">
      <c r="D599" s="13"/>
      <c r="F599" s="13"/>
      <c r="G599" s="13"/>
      <c r="H599" s="20"/>
    </row>
    <row r="600">
      <c r="D600" s="13"/>
      <c r="F600" s="13"/>
      <c r="G600" s="13"/>
      <c r="H600" s="20"/>
    </row>
    <row r="601">
      <c r="D601" s="13"/>
      <c r="F601" s="13"/>
      <c r="G601" s="13"/>
      <c r="H601" s="20"/>
    </row>
    <row r="602">
      <c r="D602" s="13"/>
      <c r="F602" s="13"/>
      <c r="G602" s="13"/>
      <c r="H602" s="20"/>
    </row>
    <row r="603">
      <c r="D603" s="13"/>
      <c r="F603" s="13"/>
      <c r="G603" s="13"/>
      <c r="H603" s="20"/>
    </row>
    <row r="604">
      <c r="D604" s="13"/>
      <c r="F604" s="13"/>
      <c r="G604" s="13"/>
      <c r="H604" s="20"/>
    </row>
    <row r="605">
      <c r="D605" s="13"/>
      <c r="F605" s="13"/>
      <c r="G605" s="13"/>
      <c r="H605" s="20"/>
    </row>
    <row r="606">
      <c r="D606" s="13"/>
      <c r="F606" s="13"/>
      <c r="G606" s="13"/>
      <c r="H606" s="20"/>
    </row>
    <row r="607">
      <c r="D607" s="13"/>
      <c r="F607" s="13"/>
      <c r="G607" s="13"/>
      <c r="H607" s="20"/>
    </row>
    <row r="608">
      <c r="D608" s="13"/>
      <c r="F608" s="13"/>
      <c r="G608" s="13"/>
      <c r="H608" s="20"/>
    </row>
    <row r="609">
      <c r="D609" s="13"/>
      <c r="F609" s="13"/>
      <c r="G609" s="13"/>
      <c r="H609" s="20"/>
    </row>
    <row r="610">
      <c r="D610" s="13"/>
      <c r="F610" s="13"/>
      <c r="G610" s="13"/>
      <c r="H610" s="20"/>
    </row>
    <row r="611">
      <c r="D611" s="13"/>
      <c r="F611" s="13"/>
      <c r="G611" s="13"/>
      <c r="H611" s="20"/>
    </row>
    <row r="612">
      <c r="D612" s="13"/>
      <c r="F612" s="13"/>
      <c r="G612" s="13"/>
      <c r="H612" s="20"/>
    </row>
    <row r="613">
      <c r="D613" s="13"/>
      <c r="F613" s="13"/>
      <c r="G613" s="13"/>
      <c r="H613" s="20"/>
    </row>
    <row r="614">
      <c r="D614" s="13"/>
      <c r="F614" s="13"/>
      <c r="G614" s="13"/>
      <c r="H614" s="20"/>
    </row>
    <row r="615">
      <c r="D615" s="13"/>
      <c r="F615" s="13"/>
      <c r="G615" s="13"/>
      <c r="H615" s="20"/>
    </row>
    <row r="616">
      <c r="D616" s="13"/>
      <c r="F616" s="13"/>
      <c r="G616" s="13"/>
      <c r="H616" s="20"/>
    </row>
    <row r="617">
      <c r="D617" s="13"/>
      <c r="F617" s="13"/>
      <c r="G617" s="13"/>
      <c r="H617" s="20"/>
    </row>
    <row r="618">
      <c r="D618" s="13"/>
      <c r="F618" s="13"/>
      <c r="G618" s="13"/>
      <c r="H618" s="20"/>
    </row>
    <row r="619">
      <c r="D619" s="13"/>
      <c r="F619" s="13"/>
      <c r="G619" s="13"/>
      <c r="H619" s="20"/>
    </row>
    <row r="620">
      <c r="D620" s="13"/>
      <c r="F620" s="13"/>
      <c r="G620" s="13"/>
      <c r="H620" s="20"/>
    </row>
    <row r="621">
      <c r="D621" s="13"/>
      <c r="F621" s="13"/>
      <c r="G621" s="13"/>
      <c r="H621" s="20"/>
    </row>
    <row r="622">
      <c r="D622" s="13"/>
      <c r="F622" s="13"/>
      <c r="G622" s="13"/>
      <c r="H622" s="20"/>
    </row>
    <row r="623">
      <c r="D623" s="13"/>
      <c r="F623" s="13"/>
      <c r="G623" s="13"/>
      <c r="H623" s="20"/>
    </row>
    <row r="624">
      <c r="D624" s="13"/>
      <c r="F624" s="13"/>
      <c r="G624" s="13"/>
      <c r="H624" s="20"/>
    </row>
    <row r="625">
      <c r="D625" s="13"/>
      <c r="F625" s="13"/>
      <c r="G625" s="13"/>
      <c r="H625" s="20"/>
    </row>
    <row r="626">
      <c r="D626" s="13"/>
      <c r="F626" s="13"/>
      <c r="G626" s="13"/>
      <c r="H626" s="20"/>
    </row>
    <row r="627">
      <c r="D627" s="13"/>
      <c r="F627" s="13"/>
      <c r="G627" s="13"/>
      <c r="H627" s="20"/>
    </row>
    <row r="628">
      <c r="D628" s="13"/>
      <c r="F628" s="13"/>
      <c r="G628" s="13"/>
      <c r="H628" s="20"/>
    </row>
    <row r="629">
      <c r="D629" s="13"/>
      <c r="F629" s="13"/>
      <c r="G629" s="13"/>
      <c r="H629" s="20"/>
    </row>
    <row r="630">
      <c r="D630" s="13"/>
      <c r="F630" s="13"/>
      <c r="G630" s="13"/>
      <c r="H630" s="20"/>
    </row>
    <row r="631">
      <c r="D631" s="13"/>
      <c r="F631" s="13"/>
      <c r="G631" s="13"/>
      <c r="H631" s="20"/>
    </row>
    <row r="632">
      <c r="D632" s="13"/>
      <c r="F632" s="13"/>
      <c r="G632" s="13"/>
      <c r="H632" s="20"/>
    </row>
    <row r="633">
      <c r="D633" s="13"/>
      <c r="F633" s="13"/>
      <c r="G633" s="13"/>
      <c r="H633" s="20"/>
    </row>
    <row r="634">
      <c r="D634" s="13"/>
      <c r="F634" s="13"/>
      <c r="G634" s="13"/>
      <c r="H634" s="20"/>
    </row>
    <row r="635">
      <c r="D635" s="13"/>
      <c r="F635" s="13"/>
      <c r="G635" s="13"/>
      <c r="H635" s="20"/>
    </row>
    <row r="636">
      <c r="D636" s="13"/>
      <c r="F636" s="13"/>
      <c r="G636" s="13"/>
      <c r="H636" s="20"/>
    </row>
    <row r="637">
      <c r="D637" s="13"/>
      <c r="F637" s="13"/>
      <c r="G637" s="13"/>
      <c r="H637" s="20"/>
    </row>
    <row r="638">
      <c r="D638" s="13"/>
      <c r="F638" s="13"/>
      <c r="G638" s="13"/>
      <c r="H638" s="20"/>
    </row>
    <row r="639">
      <c r="D639" s="13"/>
      <c r="F639" s="13"/>
      <c r="G639" s="13"/>
      <c r="H639" s="20"/>
    </row>
    <row r="640">
      <c r="D640" s="13"/>
      <c r="F640" s="13"/>
      <c r="G640" s="13"/>
      <c r="H640" s="20"/>
    </row>
    <row r="641">
      <c r="D641" s="13"/>
      <c r="F641" s="13"/>
      <c r="G641" s="13"/>
      <c r="H641" s="20"/>
    </row>
    <row r="642">
      <c r="D642" s="13"/>
      <c r="F642" s="13"/>
      <c r="G642" s="13"/>
      <c r="H642" s="20"/>
    </row>
    <row r="643">
      <c r="D643" s="13"/>
      <c r="F643" s="13"/>
      <c r="G643" s="13"/>
      <c r="H643" s="20"/>
    </row>
    <row r="644">
      <c r="D644" s="13"/>
      <c r="F644" s="13"/>
      <c r="G644" s="13"/>
      <c r="H644" s="20"/>
    </row>
    <row r="645">
      <c r="D645" s="13"/>
      <c r="F645" s="13"/>
      <c r="G645" s="13"/>
      <c r="H645" s="20"/>
    </row>
    <row r="646">
      <c r="D646" s="13"/>
      <c r="F646" s="13"/>
      <c r="G646" s="13"/>
      <c r="H646" s="20"/>
    </row>
    <row r="647">
      <c r="D647" s="13"/>
      <c r="F647" s="13"/>
      <c r="G647" s="13"/>
      <c r="H647" s="20"/>
    </row>
    <row r="648">
      <c r="D648" s="13"/>
      <c r="F648" s="13"/>
      <c r="G648" s="13"/>
      <c r="H648" s="20"/>
    </row>
    <row r="649">
      <c r="D649" s="13"/>
      <c r="F649" s="13"/>
      <c r="G649" s="13"/>
      <c r="H649" s="20"/>
    </row>
    <row r="650">
      <c r="D650" s="13"/>
      <c r="F650" s="13"/>
      <c r="G650" s="13"/>
      <c r="H650" s="20"/>
    </row>
    <row r="651">
      <c r="D651" s="13"/>
      <c r="F651" s="13"/>
      <c r="G651" s="13"/>
      <c r="H651" s="20"/>
    </row>
    <row r="652">
      <c r="D652" s="13"/>
      <c r="F652" s="13"/>
      <c r="G652" s="13"/>
      <c r="H652" s="20"/>
    </row>
    <row r="653">
      <c r="D653" s="13"/>
      <c r="F653" s="13"/>
      <c r="G653" s="13"/>
      <c r="H653" s="20"/>
    </row>
    <row r="654">
      <c r="D654" s="13"/>
      <c r="F654" s="13"/>
      <c r="G654" s="13"/>
      <c r="H654" s="20"/>
    </row>
    <row r="655">
      <c r="D655" s="13"/>
      <c r="F655" s="13"/>
      <c r="G655" s="13"/>
      <c r="H655" s="20"/>
    </row>
    <row r="656">
      <c r="D656" s="13"/>
      <c r="F656" s="13"/>
      <c r="G656" s="13"/>
      <c r="H656" s="20"/>
    </row>
    <row r="657">
      <c r="D657" s="13"/>
      <c r="F657" s="13"/>
      <c r="G657" s="13"/>
      <c r="H657" s="20"/>
    </row>
    <row r="658">
      <c r="D658" s="13"/>
      <c r="F658" s="13"/>
      <c r="G658" s="13"/>
      <c r="H658" s="20"/>
    </row>
    <row r="659">
      <c r="D659" s="13"/>
      <c r="F659" s="13"/>
      <c r="G659" s="13"/>
      <c r="H659" s="20"/>
    </row>
    <row r="660">
      <c r="D660" s="13"/>
      <c r="F660" s="13"/>
      <c r="G660" s="13"/>
      <c r="H660" s="20"/>
    </row>
    <row r="661">
      <c r="D661" s="13"/>
      <c r="F661" s="13"/>
      <c r="G661" s="13"/>
      <c r="H661" s="20"/>
    </row>
    <row r="662">
      <c r="D662" s="13"/>
      <c r="F662" s="13"/>
      <c r="G662" s="13"/>
      <c r="H662" s="20"/>
    </row>
    <row r="663">
      <c r="D663" s="13"/>
      <c r="F663" s="13"/>
      <c r="G663" s="13"/>
      <c r="H663" s="20"/>
    </row>
    <row r="664">
      <c r="D664" s="13"/>
      <c r="F664" s="13"/>
      <c r="G664" s="13"/>
      <c r="H664" s="20"/>
    </row>
    <row r="665">
      <c r="D665" s="13"/>
      <c r="F665" s="13"/>
      <c r="G665" s="13"/>
      <c r="H665" s="20"/>
    </row>
    <row r="666">
      <c r="D666" s="13"/>
      <c r="F666" s="13"/>
      <c r="G666" s="13"/>
      <c r="H666" s="20"/>
    </row>
    <row r="667">
      <c r="D667" s="13"/>
      <c r="F667" s="13"/>
      <c r="G667" s="13"/>
      <c r="H667" s="20"/>
    </row>
    <row r="668">
      <c r="D668" s="13"/>
      <c r="F668" s="13"/>
      <c r="G668" s="13"/>
      <c r="H668" s="20"/>
    </row>
    <row r="669">
      <c r="D669" s="13"/>
      <c r="F669" s="13"/>
      <c r="G669" s="13"/>
      <c r="H669" s="20"/>
    </row>
    <row r="670">
      <c r="D670" s="13"/>
      <c r="F670" s="13"/>
      <c r="G670" s="13"/>
      <c r="H670" s="20"/>
    </row>
    <row r="671">
      <c r="D671" s="13"/>
      <c r="F671" s="13"/>
      <c r="G671" s="13"/>
      <c r="H671" s="20"/>
    </row>
    <row r="672">
      <c r="D672" s="13"/>
      <c r="F672" s="13"/>
      <c r="G672" s="13"/>
      <c r="H672" s="20"/>
    </row>
    <row r="673">
      <c r="D673" s="13"/>
      <c r="F673" s="13"/>
      <c r="G673" s="13"/>
      <c r="H673" s="20"/>
    </row>
    <row r="674">
      <c r="D674" s="13"/>
      <c r="F674" s="13"/>
      <c r="G674" s="13"/>
      <c r="H674" s="20"/>
    </row>
    <row r="675">
      <c r="D675" s="13"/>
      <c r="F675" s="13"/>
      <c r="G675" s="13"/>
      <c r="H675" s="20"/>
    </row>
    <row r="676">
      <c r="D676" s="13"/>
      <c r="F676" s="13"/>
      <c r="G676" s="13"/>
      <c r="H676" s="20"/>
    </row>
    <row r="677">
      <c r="D677" s="13"/>
      <c r="F677" s="13"/>
      <c r="G677" s="13"/>
      <c r="H677" s="20"/>
    </row>
    <row r="678">
      <c r="D678" s="13"/>
      <c r="F678" s="13"/>
      <c r="G678" s="13"/>
      <c r="H678" s="20"/>
    </row>
    <row r="679">
      <c r="D679" s="13"/>
      <c r="F679" s="13"/>
      <c r="G679" s="13"/>
      <c r="H679" s="20"/>
    </row>
    <row r="680">
      <c r="D680" s="13"/>
      <c r="F680" s="13"/>
      <c r="G680" s="13"/>
      <c r="H680" s="20"/>
    </row>
    <row r="681">
      <c r="D681" s="13"/>
      <c r="F681" s="13"/>
      <c r="G681" s="13"/>
      <c r="H681" s="20"/>
    </row>
    <row r="682">
      <c r="D682" s="13"/>
      <c r="F682" s="13"/>
      <c r="G682" s="13"/>
      <c r="H682" s="20"/>
    </row>
    <row r="683">
      <c r="D683" s="13"/>
      <c r="F683" s="13"/>
      <c r="G683" s="13"/>
      <c r="H683" s="20"/>
    </row>
    <row r="684">
      <c r="D684" s="13"/>
      <c r="F684" s="13"/>
      <c r="G684" s="13"/>
      <c r="H684" s="20"/>
    </row>
    <row r="685">
      <c r="D685" s="13"/>
      <c r="F685" s="13"/>
      <c r="G685" s="13"/>
      <c r="H685" s="20"/>
    </row>
    <row r="686">
      <c r="D686" s="13"/>
      <c r="F686" s="13"/>
      <c r="G686" s="13"/>
      <c r="H686" s="20"/>
    </row>
    <row r="687">
      <c r="D687" s="13"/>
      <c r="F687" s="13"/>
      <c r="G687" s="13"/>
      <c r="H687" s="20"/>
    </row>
    <row r="688">
      <c r="D688" s="13"/>
      <c r="F688" s="13"/>
      <c r="G688" s="13"/>
      <c r="H688" s="20"/>
    </row>
    <row r="689">
      <c r="D689" s="13"/>
      <c r="F689" s="13"/>
      <c r="G689" s="13"/>
      <c r="H689" s="20"/>
    </row>
    <row r="690">
      <c r="D690" s="13"/>
      <c r="F690" s="13"/>
      <c r="G690" s="13"/>
      <c r="H690" s="20"/>
    </row>
    <row r="691">
      <c r="D691" s="13"/>
      <c r="F691" s="13"/>
      <c r="G691" s="13"/>
      <c r="H691" s="20"/>
    </row>
    <row r="692">
      <c r="D692" s="13"/>
      <c r="F692" s="13"/>
      <c r="G692" s="13"/>
      <c r="H692" s="20"/>
    </row>
    <row r="693">
      <c r="D693" s="13"/>
      <c r="F693" s="13"/>
      <c r="G693" s="13"/>
      <c r="H693" s="20"/>
    </row>
    <row r="694">
      <c r="D694" s="13"/>
      <c r="F694" s="13"/>
      <c r="G694" s="13"/>
      <c r="H694" s="20"/>
    </row>
    <row r="695">
      <c r="D695" s="13"/>
      <c r="F695" s="13"/>
      <c r="G695" s="13"/>
      <c r="H695" s="20"/>
    </row>
    <row r="696">
      <c r="D696" s="13"/>
      <c r="F696" s="13"/>
      <c r="G696" s="13"/>
      <c r="H696" s="20"/>
    </row>
    <row r="697">
      <c r="D697" s="13"/>
      <c r="F697" s="13"/>
      <c r="G697" s="13"/>
      <c r="H697" s="20"/>
    </row>
    <row r="698">
      <c r="D698" s="13"/>
      <c r="F698" s="13"/>
      <c r="G698" s="13"/>
      <c r="H698" s="20"/>
    </row>
    <row r="699">
      <c r="D699" s="13"/>
      <c r="F699" s="13"/>
      <c r="G699" s="13"/>
      <c r="H699" s="20"/>
    </row>
    <row r="700">
      <c r="D700" s="13"/>
      <c r="F700" s="13"/>
      <c r="G700" s="13"/>
      <c r="H700" s="20"/>
    </row>
    <row r="701">
      <c r="D701" s="13"/>
      <c r="F701" s="13"/>
      <c r="G701" s="13"/>
      <c r="H701" s="20"/>
    </row>
    <row r="702">
      <c r="D702" s="13"/>
      <c r="F702" s="13"/>
      <c r="G702" s="13"/>
      <c r="H702" s="20"/>
    </row>
    <row r="703">
      <c r="D703" s="13"/>
      <c r="F703" s="13"/>
      <c r="G703" s="13"/>
      <c r="H703" s="20"/>
    </row>
    <row r="704">
      <c r="D704" s="13"/>
      <c r="F704" s="13"/>
      <c r="G704" s="13"/>
      <c r="H704" s="20"/>
    </row>
    <row r="705">
      <c r="D705" s="13"/>
      <c r="F705" s="13"/>
      <c r="G705" s="13"/>
      <c r="H705" s="20"/>
    </row>
    <row r="706">
      <c r="D706" s="13"/>
      <c r="F706" s="13"/>
      <c r="G706" s="13"/>
      <c r="H706" s="20"/>
    </row>
    <row r="707">
      <c r="D707" s="13"/>
      <c r="F707" s="13"/>
      <c r="G707" s="13"/>
      <c r="H707" s="20"/>
    </row>
    <row r="708">
      <c r="D708" s="13"/>
      <c r="F708" s="13"/>
      <c r="G708" s="13"/>
      <c r="H708" s="20"/>
    </row>
    <row r="709">
      <c r="D709" s="13"/>
      <c r="F709" s="13"/>
      <c r="G709" s="13"/>
      <c r="H709" s="20"/>
    </row>
    <row r="710">
      <c r="D710" s="13"/>
      <c r="F710" s="13"/>
      <c r="G710" s="13"/>
      <c r="H710" s="20"/>
    </row>
    <row r="711">
      <c r="D711" s="13"/>
      <c r="F711" s="13"/>
      <c r="G711" s="13"/>
      <c r="H711" s="20"/>
    </row>
    <row r="712">
      <c r="D712" s="13"/>
      <c r="F712" s="13"/>
      <c r="G712" s="13"/>
      <c r="H712" s="20"/>
    </row>
    <row r="713">
      <c r="D713" s="13"/>
      <c r="F713" s="13"/>
      <c r="G713" s="13"/>
      <c r="H713" s="20"/>
    </row>
    <row r="714">
      <c r="D714" s="13"/>
      <c r="F714" s="13"/>
      <c r="G714" s="13"/>
      <c r="H714" s="20"/>
    </row>
    <row r="715">
      <c r="D715" s="13"/>
      <c r="F715" s="13"/>
      <c r="G715" s="13"/>
      <c r="H715" s="20"/>
    </row>
    <row r="716">
      <c r="D716" s="13"/>
      <c r="F716" s="13"/>
      <c r="G716" s="13"/>
      <c r="H716" s="20"/>
    </row>
    <row r="717">
      <c r="D717" s="13"/>
      <c r="F717" s="13"/>
      <c r="G717" s="13"/>
      <c r="H717" s="20"/>
    </row>
    <row r="718">
      <c r="D718" s="13"/>
      <c r="F718" s="13"/>
      <c r="G718" s="13"/>
      <c r="H718" s="20"/>
    </row>
    <row r="719">
      <c r="D719" s="13"/>
      <c r="F719" s="13"/>
      <c r="G719" s="13"/>
      <c r="H719" s="20"/>
    </row>
    <row r="720">
      <c r="D720" s="13"/>
      <c r="F720" s="13"/>
      <c r="G720" s="13"/>
      <c r="H720" s="20"/>
    </row>
    <row r="721">
      <c r="D721" s="13"/>
      <c r="F721" s="13"/>
      <c r="G721" s="13"/>
      <c r="H721" s="20"/>
    </row>
    <row r="722">
      <c r="D722" s="13"/>
      <c r="F722" s="13"/>
      <c r="G722" s="13"/>
      <c r="H722" s="20"/>
    </row>
    <row r="723">
      <c r="D723" s="13"/>
      <c r="F723" s="13"/>
      <c r="G723" s="13"/>
      <c r="H723" s="20"/>
    </row>
    <row r="724">
      <c r="D724" s="13"/>
      <c r="F724" s="13"/>
      <c r="G724" s="13"/>
      <c r="H724" s="20"/>
    </row>
    <row r="725">
      <c r="D725" s="13"/>
      <c r="F725" s="13"/>
      <c r="G725" s="13"/>
      <c r="H725" s="20"/>
    </row>
    <row r="726">
      <c r="D726" s="13"/>
      <c r="F726" s="13"/>
      <c r="G726" s="13"/>
      <c r="H726" s="20"/>
    </row>
    <row r="727">
      <c r="D727" s="13"/>
      <c r="F727" s="13"/>
      <c r="G727" s="13"/>
      <c r="H727" s="20"/>
    </row>
    <row r="728">
      <c r="D728" s="13"/>
      <c r="F728" s="13"/>
      <c r="G728" s="13"/>
      <c r="H728" s="20"/>
    </row>
    <row r="729">
      <c r="D729" s="13"/>
      <c r="F729" s="13"/>
      <c r="G729" s="13"/>
      <c r="H729" s="20"/>
    </row>
    <row r="730">
      <c r="D730" s="13"/>
      <c r="F730" s="13"/>
      <c r="G730" s="13"/>
      <c r="H730" s="20"/>
    </row>
    <row r="731">
      <c r="D731" s="13"/>
      <c r="F731" s="13"/>
      <c r="G731" s="13"/>
      <c r="H731" s="20"/>
    </row>
    <row r="732">
      <c r="D732" s="13"/>
      <c r="F732" s="13"/>
      <c r="G732" s="13"/>
      <c r="H732" s="20"/>
    </row>
    <row r="733">
      <c r="D733" s="13"/>
      <c r="F733" s="13"/>
      <c r="G733" s="13"/>
      <c r="H733" s="20"/>
    </row>
    <row r="734">
      <c r="D734" s="13"/>
      <c r="F734" s="13"/>
      <c r="G734" s="13"/>
      <c r="H734" s="20"/>
    </row>
    <row r="735">
      <c r="D735" s="13"/>
      <c r="F735" s="13"/>
      <c r="G735" s="13"/>
      <c r="H735" s="20"/>
    </row>
    <row r="736">
      <c r="D736" s="13"/>
      <c r="F736" s="13"/>
      <c r="G736" s="13"/>
      <c r="H736" s="20"/>
    </row>
    <row r="737">
      <c r="D737" s="13"/>
      <c r="F737" s="13"/>
      <c r="G737" s="13"/>
      <c r="H737" s="20"/>
    </row>
    <row r="738">
      <c r="D738" s="13"/>
      <c r="F738" s="13"/>
      <c r="G738" s="13"/>
      <c r="H738" s="20"/>
    </row>
    <row r="739">
      <c r="D739" s="13"/>
      <c r="F739" s="13"/>
      <c r="G739" s="13"/>
      <c r="H739" s="20"/>
    </row>
    <row r="740">
      <c r="D740" s="13"/>
      <c r="F740" s="13"/>
      <c r="G740" s="13"/>
      <c r="H740" s="20"/>
    </row>
    <row r="741">
      <c r="D741" s="13"/>
      <c r="F741" s="13"/>
      <c r="G741" s="13"/>
      <c r="H741" s="20"/>
    </row>
    <row r="742">
      <c r="D742" s="13"/>
      <c r="F742" s="13"/>
      <c r="G742" s="13"/>
      <c r="H742" s="20"/>
    </row>
    <row r="743">
      <c r="D743" s="13"/>
      <c r="F743" s="13"/>
      <c r="G743" s="13"/>
      <c r="H743" s="20"/>
    </row>
    <row r="744">
      <c r="D744" s="13"/>
      <c r="F744" s="13"/>
      <c r="G744" s="13"/>
      <c r="H744" s="20"/>
    </row>
    <row r="745">
      <c r="D745" s="13"/>
      <c r="F745" s="13"/>
      <c r="G745" s="13"/>
      <c r="H745" s="20"/>
    </row>
    <row r="746">
      <c r="D746" s="13"/>
      <c r="F746" s="13"/>
      <c r="G746" s="13"/>
      <c r="H746" s="20"/>
    </row>
    <row r="747">
      <c r="D747" s="13"/>
      <c r="F747" s="13"/>
      <c r="G747" s="13"/>
      <c r="H747" s="20"/>
    </row>
    <row r="748">
      <c r="D748" s="13"/>
      <c r="F748" s="13"/>
      <c r="G748" s="13"/>
      <c r="H748" s="20"/>
    </row>
    <row r="749">
      <c r="D749" s="13"/>
      <c r="F749" s="13"/>
      <c r="G749" s="13"/>
      <c r="H749" s="20"/>
    </row>
    <row r="750">
      <c r="D750" s="13"/>
      <c r="F750" s="13"/>
      <c r="G750" s="13"/>
      <c r="H750" s="20"/>
    </row>
    <row r="751">
      <c r="D751" s="13"/>
      <c r="F751" s="13"/>
      <c r="G751" s="13"/>
      <c r="H751" s="20"/>
    </row>
    <row r="752">
      <c r="D752" s="13"/>
      <c r="F752" s="13"/>
      <c r="G752" s="13"/>
      <c r="H752" s="20"/>
    </row>
    <row r="753">
      <c r="D753" s="13"/>
      <c r="F753" s="13"/>
      <c r="G753" s="13"/>
      <c r="H753" s="20"/>
    </row>
    <row r="754">
      <c r="D754" s="13"/>
      <c r="F754" s="13"/>
      <c r="G754" s="13"/>
      <c r="H754" s="20"/>
    </row>
    <row r="755">
      <c r="D755" s="13"/>
      <c r="F755" s="13"/>
      <c r="G755" s="13"/>
      <c r="H755" s="20"/>
    </row>
    <row r="756">
      <c r="D756" s="13"/>
      <c r="F756" s="13"/>
      <c r="G756" s="13"/>
      <c r="H756" s="20"/>
    </row>
    <row r="757">
      <c r="D757" s="13"/>
      <c r="F757" s="13"/>
      <c r="G757" s="13"/>
      <c r="H757" s="20"/>
    </row>
    <row r="758">
      <c r="D758" s="13"/>
      <c r="F758" s="13"/>
      <c r="G758" s="13"/>
      <c r="H758" s="20"/>
    </row>
    <row r="759">
      <c r="D759" s="13"/>
      <c r="F759" s="13"/>
      <c r="G759" s="13"/>
      <c r="H759" s="20"/>
    </row>
    <row r="760">
      <c r="D760" s="13"/>
      <c r="F760" s="13"/>
      <c r="G760" s="13"/>
      <c r="H760" s="20"/>
    </row>
    <row r="761">
      <c r="D761" s="13"/>
      <c r="F761" s="13"/>
      <c r="G761" s="13"/>
      <c r="H761" s="20"/>
    </row>
    <row r="762">
      <c r="D762" s="13"/>
      <c r="F762" s="13"/>
      <c r="G762" s="13"/>
      <c r="H762" s="20"/>
    </row>
    <row r="763">
      <c r="D763" s="13"/>
      <c r="F763" s="13"/>
      <c r="G763" s="13"/>
      <c r="H763" s="20"/>
    </row>
    <row r="764">
      <c r="D764" s="13"/>
      <c r="F764" s="13"/>
      <c r="G764" s="13"/>
      <c r="H764" s="20"/>
    </row>
    <row r="765">
      <c r="D765" s="13"/>
      <c r="F765" s="13"/>
      <c r="G765" s="13"/>
      <c r="H765" s="20"/>
    </row>
    <row r="766">
      <c r="D766" s="13"/>
      <c r="F766" s="13"/>
      <c r="G766" s="13"/>
      <c r="H766" s="20"/>
    </row>
    <row r="767">
      <c r="D767" s="13"/>
      <c r="F767" s="13"/>
      <c r="G767" s="13"/>
      <c r="H767" s="20"/>
    </row>
    <row r="768">
      <c r="D768" s="13"/>
      <c r="F768" s="13"/>
      <c r="G768" s="13"/>
      <c r="H768" s="20"/>
    </row>
    <row r="769">
      <c r="D769" s="13"/>
      <c r="F769" s="13"/>
      <c r="G769" s="13"/>
      <c r="H769" s="20"/>
    </row>
    <row r="770">
      <c r="D770" s="13"/>
      <c r="F770" s="13"/>
      <c r="G770" s="13"/>
      <c r="H770" s="20"/>
    </row>
    <row r="771">
      <c r="D771" s="13"/>
      <c r="F771" s="13"/>
      <c r="G771" s="13"/>
      <c r="H771" s="20"/>
    </row>
    <row r="772">
      <c r="D772" s="13"/>
      <c r="F772" s="13"/>
      <c r="G772" s="13"/>
      <c r="H772" s="20"/>
    </row>
    <row r="773">
      <c r="D773" s="13"/>
      <c r="F773" s="13"/>
      <c r="G773" s="13"/>
      <c r="H773" s="20"/>
    </row>
    <row r="774">
      <c r="D774" s="13"/>
      <c r="F774" s="13"/>
      <c r="G774" s="13"/>
      <c r="H774" s="20"/>
    </row>
    <row r="775">
      <c r="D775" s="13"/>
      <c r="F775" s="13"/>
      <c r="G775" s="13"/>
      <c r="H775" s="20"/>
    </row>
    <row r="776">
      <c r="D776" s="13"/>
      <c r="F776" s="13"/>
      <c r="G776" s="13"/>
      <c r="H776" s="20"/>
    </row>
    <row r="777">
      <c r="D777" s="13"/>
      <c r="F777" s="13"/>
      <c r="G777" s="13"/>
      <c r="H777" s="20"/>
    </row>
    <row r="778">
      <c r="D778" s="13"/>
      <c r="F778" s="13"/>
      <c r="G778" s="13"/>
      <c r="H778" s="20"/>
    </row>
    <row r="779">
      <c r="D779" s="13"/>
      <c r="F779" s="13"/>
      <c r="G779" s="13"/>
      <c r="H779" s="20"/>
    </row>
    <row r="780">
      <c r="D780" s="13"/>
      <c r="F780" s="13"/>
      <c r="G780" s="13"/>
      <c r="H780" s="20"/>
    </row>
    <row r="781">
      <c r="D781" s="13"/>
      <c r="F781" s="13"/>
      <c r="G781" s="13"/>
      <c r="H781" s="20"/>
    </row>
    <row r="782">
      <c r="D782" s="13"/>
      <c r="F782" s="13"/>
      <c r="G782" s="13"/>
      <c r="H782" s="20"/>
    </row>
    <row r="783">
      <c r="D783" s="13"/>
      <c r="F783" s="13"/>
      <c r="G783" s="13"/>
      <c r="H783" s="20"/>
    </row>
    <row r="784">
      <c r="D784" s="13"/>
      <c r="F784" s="13"/>
      <c r="G784" s="13"/>
      <c r="H784" s="20"/>
    </row>
    <row r="785">
      <c r="D785" s="13"/>
      <c r="F785" s="13"/>
      <c r="G785" s="13"/>
      <c r="H785" s="20"/>
    </row>
    <row r="786">
      <c r="D786" s="13"/>
      <c r="F786" s="13"/>
      <c r="G786" s="13"/>
      <c r="H786" s="20"/>
    </row>
    <row r="787">
      <c r="D787" s="13"/>
      <c r="F787" s="13"/>
      <c r="G787" s="13"/>
      <c r="H787" s="20"/>
    </row>
    <row r="788">
      <c r="D788" s="13"/>
      <c r="F788" s="13"/>
      <c r="G788" s="13"/>
      <c r="H788" s="20"/>
    </row>
    <row r="789">
      <c r="D789" s="13"/>
      <c r="F789" s="13"/>
      <c r="G789" s="13"/>
      <c r="H789" s="20"/>
    </row>
    <row r="790">
      <c r="D790" s="13"/>
      <c r="F790" s="13"/>
      <c r="G790" s="13"/>
      <c r="H790" s="20"/>
    </row>
    <row r="791">
      <c r="D791" s="13"/>
      <c r="F791" s="13"/>
      <c r="G791" s="13"/>
      <c r="H791" s="20"/>
    </row>
    <row r="792">
      <c r="D792" s="13"/>
      <c r="F792" s="13"/>
      <c r="G792" s="13"/>
      <c r="H792" s="20"/>
    </row>
    <row r="793">
      <c r="D793" s="13"/>
      <c r="F793" s="13"/>
      <c r="G793" s="13"/>
      <c r="H793" s="20"/>
    </row>
    <row r="794">
      <c r="D794" s="13"/>
      <c r="F794" s="13"/>
      <c r="G794" s="13"/>
      <c r="H794" s="20"/>
    </row>
    <row r="795">
      <c r="D795" s="13"/>
      <c r="F795" s="13"/>
      <c r="G795" s="13"/>
      <c r="H795" s="20"/>
    </row>
    <row r="796">
      <c r="D796" s="13"/>
      <c r="F796" s="13"/>
      <c r="G796" s="13"/>
      <c r="H796" s="20"/>
    </row>
    <row r="797">
      <c r="D797" s="13"/>
      <c r="F797" s="13"/>
      <c r="G797" s="13"/>
      <c r="H797" s="20"/>
    </row>
    <row r="798">
      <c r="D798" s="13"/>
      <c r="F798" s="13"/>
      <c r="G798" s="13"/>
      <c r="H798" s="20"/>
    </row>
    <row r="799">
      <c r="D799" s="13"/>
      <c r="F799" s="13"/>
      <c r="G799" s="13"/>
      <c r="H799" s="20"/>
    </row>
    <row r="800">
      <c r="D800" s="13"/>
      <c r="F800" s="13"/>
      <c r="G800" s="13"/>
      <c r="H800" s="20"/>
    </row>
    <row r="801">
      <c r="D801" s="13"/>
      <c r="F801" s="13"/>
      <c r="G801" s="13"/>
      <c r="H801" s="20"/>
    </row>
    <row r="802">
      <c r="D802" s="13"/>
      <c r="F802" s="13"/>
      <c r="G802" s="13"/>
      <c r="H802" s="20"/>
    </row>
    <row r="803">
      <c r="D803" s="13"/>
      <c r="F803" s="13"/>
      <c r="G803" s="13"/>
      <c r="H803" s="20"/>
    </row>
    <row r="804">
      <c r="D804" s="13"/>
      <c r="F804" s="13"/>
      <c r="G804" s="13"/>
      <c r="H804" s="20"/>
    </row>
    <row r="805">
      <c r="D805" s="13"/>
      <c r="F805" s="13"/>
      <c r="G805" s="13"/>
      <c r="H805" s="20"/>
    </row>
    <row r="806">
      <c r="D806" s="13"/>
      <c r="F806" s="13"/>
      <c r="G806" s="13"/>
      <c r="H806" s="20"/>
    </row>
    <row r="807">
      <c r="D807" s="13"/>
      <c r="F807" s="13"/>
      <c r="G807" s="13"/>
      <c r="H807" s="20"/>
    </row>
    <row r="808">
      <c r="D808" s="13"/>
      <c r="F808" s="13"/>
      <c r="G808" s="13"/>
      <c r="H808" s="20"/>
    </row>
    <row r="809">
      <c r="D809" s="13"/>
      <c r="F809" s="13"/>
      <c r="G809" s="13"/>
      <c r="H809" s="20"/>
    </row>
    <row r="810">
      <c r="D810" s="13"/>
      <c r="F810" s="13"/>
      <c r="G810" s="13"/>
      <c r="H810" s="20"/>
    </row>
    <row r="811">
      <c r="D811" s="13"/>
      <c r="F811" s="13"/>
      <c r="G811" s="13"/>
      <c r="H811" s="20"/>
    </row>
    <row r="812">
      <c r="D812" s="13"/>
      <c r="F812" s="13"/>
      <c r="G812" s="13"/>
      <c r="H812" s="20"/>
    </row>
    <row r="813">
      <c r="D813" s="13"/>
      <c r="F813" s="13"/>
      <c r="G813" s="13"/>
      <c r="H813" s="20"/>
    </row>
    <row r="814">
      <c r="D814" s="13"/>
      <c r="F814" s="13"/>
      <c r="G814" s="13"/>
      <c r="H814" s="20"/>
    </row>
    <row r="815">
      <c r="D815" s="13"/>
      <c r="F815" s="13"/>
      <c r="G815" s="13"/>
      <c r="H815" s="20"/>
    </row>
    <row r="816">
      <c r="D816" s="13"/>
      <c r="F816" s="13"/>
      <c r="G816" s="13"/>
      <c r="H816" s="20"/>
    </row>
    <row r="817">
      <c r="D817" s="13"/>
      <c r="F817" s="13"/>
      <c r="G817" s="13"/>
      <c r="H817" s="20"/>
    </row>
    <row r="818">
      <c r="D818" s="13"/>
      <c r="F818" s="13"/>
      <c r="G818" s="13"/>
      <c r="H818" s="20"/>
    </row>
    <row r="819">
      <c r="D819" s="13"/>
      <c r="F819" s="13"/>
      <c r="G819" s="13"/>
      <c r="H819" s="20"/>
    </row>
    <row r="820">
      <c r="D820" s="13"/>
      <c r="F820" s="13"/>
      <c r="G820" s="13"/>
      <c r="H820" s="20"/>
    </row>
    <row r="821">
      <c r="D821" s="13"/>
      <c r="F821" s="13"/>
      <c r="G821" s="13"/>
      <c r="H821" s="20"/>
    </row>
    <row r="822">
      <c r="D822" s="13"/>
      <c r="F822" s="13"/>
      <c r="G822" s="13"/>
      <c r="H822" s="20"/>
    </row>
    <row r="823">
      <c r="D823" s="13"/>
      <c r="F823" s="13"/>
      <c r="G823" s="13"/>
      <c r="H823" s="20"/>
    </row>
    <row r="824">
      <c r="D824" s="13"/>
      <c r="F824" s="13"/>
      <c r="G824" s="13"/>
      <c r="H824" s="20"/>
    </row>
    <row r="825">
      <c r="D825" s="13"/>
      <c r="F825" s="13"/>
      <c r="G825" s="13"/>
      <c r="H825" s="20"/>
    </row>
    <row r="826">
      <c r="D826" s="13"/>
      <c r="F826" s="13"/>
      <c r="G826" s="13"/>
      <c r="H826" s="20"/>
    </row>
    <row r="827">
      <c r="D827" s="13"/>
      <c r="F827" s="13"/>
      <c r="G827" s="13"/>
      <c r="H827" s="20"/>
    </row>
    <row r="828">
      <c r="D828" s="13"/>
      <c r="F828" s="13"/>
      <c r="G828" s="13"/>
      <c r="H828" s="20"/>
    </row>
    <row r="829">
      <c r="D829" s="13"/>
      <c r="F829" s="13"/>
      <c r="G829" s="13"/>
      <c r="H829" s="20"/>
    </row>
    <row r="830">
      <c r="D830" s="13"/>
      <c r="F830" s="13"/>
      <c r="G830" s="13"/>
      <c r="H830" s="20"/>
    </row>
    <row r="831">
      <c r="D831" s="13"/>
      <c r="F831" s="13"/>
      <c r="G831" s="13"/>
      <c r="H831" s="20"/>
    </row>
    <row r="832">
      <c r="D832" s="13"/>
      <c r="F832" s="13"/>
      <c r="G832" s="13"/>
      <c r="H832" s="20"/>
    </row>
    <row r="833">
      <c r="D833" s="13"/>
      <c r="F833" s="13"/>
      <c r="G833" s="13"/>
      <c r="H833" s="20"/>
    </row>
    <row r="834">
      <c r="D834" s="13"/>
      <c r="F834" s="13"/>
      <c r="G834" s="13"/>
      <c r="H834" s="20"/>
    </row>
    <row r="835">
      <c r="D835" s="13"/>
      <c r="F835" s="13"/>
      <c r="G835" s="13"/>
      <c r="H835" s="20"/>
    </row>
    <row r="836">
      <c r="D836" s="13"/>
      <c r="F836" s="13"/>
      <c r="G836" s="13"/>
      <c r="H836" s="20"/>
    </row>
    <row r="837">
      <c r="D837" s="13"/>
      <c r="F837" s="13"/>
      <c r="G837" s="13"/>
      <c r="H837" s="20"/>
    </row>
    <row r="838">
      <c r="D838" s="13"/>
      <c r="F838" s="13"/>
      <c r="G838" s="13"/>
      <c r="H838" s="20"/>
    </row>
    <row r="839">
      <c r="D839" s="13"/>
      <c r="F839" s="13"/>
      <c r="G839" s="13"/>
      <c r="H839" s="20"/>
    </row>
    <row r="840">
      <c r="D840" s="13"/>
      <c r="F840" s="13"/>
      <c r="G840" s="13"/>
      <c r="H840" s="20"/>
    </row>
    <row r="841">
      <c r="D841" s="13"/>
      <c r="F841" s="13"/>
      <c r="G841" s="13"/>
      <c r="H841" s="20"/>
    </row>
    <row r="842">
      <c r="D842" s="13"/>
      <c r="F842" s="13"/>
      <c r="G842" s="13"/>
      <c r="H842" s="20"/>
    </row>
    <row r="843">
      <c r="D843" s="13"/>
      <c r="F843" s="13"/>
      <c r="G843" s="13"/>
      <c r="H843" s="20"/>
    </row>
    <row r="844">
      <c r="D844" s="13"/>
      <c r="F844" s="13"/>
      <c r="G844" s="13"/>
      <c r="H844" s="20"/>
    </row>
    <row r="845">
      <c r="D845" s="13"/>
      <c r="F845" s="13"/>
      <c r="G845" s="13"/>
      <c r="H845" s="20"/>
    </row>
    <row r="846">
      <c r="D846" s="13"/>
      <c r="F846" s="13"/>
      <c r="G846" s="13"/>
      <c r="H846" s="20"/>
    </row>
    <row r="847">
      <c r="D847" s="13"/>
      <c r="F847" s="13"/>
      <c r="G847" s="13"/>
      <c r="H847" s="20"/>
    </row>
    <row r="848">
      <c r="D848" s="13"/>
      <c r="F848" s="13"/>
      <c r="G848" s="13"/>
      <c r="H848" s="20"/>
    </row>
    <row r="849">
      <c r="D849" s="13"/>
      <c r="F849" s="13"/>
      <c r="G849" s="13"/>
      <c r="H849" s="20"/>
    </row>
    <row r="850">
      <c r="D850" s="13"/>
      <c r="F850" s="13"/>
      <c r="G850" s="13"/>
      <c r="H850" s="20"/>
    </row>
    <row r="851">
      <c r="D851" s="13"/>
      <c r="F851" s="13"/>
      <c r="G851" s="13"/>
      <c r="H851" s="20"/>
    </row>
    <row r="852">
      <c r="D852" s="13"/>
      <c r="F852" s="13"/>
      <c r="G852" s="13"/>
      <c r="H852" s="20"/>
    </row>
    <row r="853">
      <c r="D853" s="13"/>
      <c r="F853" s="13"/>
      <c r="G853" s="13"/>
      <c r="H853" s="20"/>
    </row>
    <row r="854">
      <c r="D854" s="13"/>
      <c r="F854" s="13"/>
      <c r="G854" s="13"/>
      <c r="H854" s="20"/>
    </row>
    <row r="855">
      <c r="D855" s="13"/>
      <c r="F855" s="13"/>
      <c r="G855" s="13"/>
      <c r="H855" s="20"/>
    </row>
    <row r="856">
      <c r="D856" s="13"/>
      <c r="F856" s="13"/>
      <c r="G856" s="13"/>
      <c r="H856" s="20"/>
    </row>
    <row r="857">
      <c r="D857" s="13"/>
      <c r="F857" s="13"/>
      <c r="G857" s="13"/>
      <c r="H857" s="20"/>
    </row>
    <row r="858">
      <c r="D858" s="13"/>
      <c r="F858" s="13"/>
      <c r="G858" s="13"/>
      <c r="H858" s="20"/>
    </row>
    <row r="859">
      <c r="D859" s="13"/>
      <c r="F859" s="13"/>
      <c r="G859" s="13"/>
      <c r="H859" s="20"/>
    </row>
    <row r="860">
      <c r="D860" s="13"/>
      <c r="F860" s="13"/>
      <c r="G860" s="13"/>
      <c r="H860" s="20"/>
    </row>
    <row r="861">
      <c r="D861" s="13"/>
      <c r="F861" s="13"/>
      <c r="G861" s="13"/>
      <c r="H861" s="20"/>
    </row>
    <row r="862">
      <c r="D862" s="13"/>
      <c r="F862" s="13"/>
      <c r="G862" s="13"/>
      <c r="H862" s="20"/>
    </row>
    <row r="863">
      <c r="D863" s="13"/>
      <c r="F863" s="13"/>
      <c r="G863" s="13"/>
      <c r="H863" s="20"/>
    </row>
    <row r="864">
      <c r="D864" s="13"/>
      <c r="F864" s="13"/>
      <c r="G864" s="13"/>
      <c r="H864" s="20"/>
    </row>
    <row r="865">
      <c r="D865" s="13"/>
      <c r="F865" s="13"/>
      <c r="G865" s="13"/>
      <c r="H865" s="20"/>
    </row>
    <row r="866">
      <c r="D866" s="13"/>
      <c r="F866" s="13"/>
      <c r="G866" s="13"/>
      <c r="H866" s="20"/>
    </row>
    <row r="867">
      <c r="D867" s="13"/>
      <c r="F867" s="13"/>
      <c r="G867" s="13"/>
      <c r="H867" s="20"/>
    </row>
    <row r="868">
      <c r="D868" s="13"/>
      <c r="F868" s="13"/>
      <c r="G868" s="13"/>
      <c r="H868" s="20"/>
    </row>
    <row r="869">
      <c r="D869" s="13"/>
      <c r="F869" s="13"/>
      <c r="G869" s="13"/>
      <c r="H869" s="20"/>
    </row>
    <row r="870">
      <c r="D870" s="13"/>
      <c r="F870" s="13"/>
      <c r="G870" s="13"/>
      <c r="H870" s="20"/>
    </row>
    <row r="871">
      <c r="D871" s="13"/>
      <c r="F871" s="13"/>
      <c r="G871" s="13"/>
      <c r="H871" s="20"/>
    </row>
    <row r="872">
      <c r="D872" s="13"/>
      <c r="F872" s="13"/>
      <c r="G872" s="13"/>
      <c r="H872" s="20"/>
    </row>
    <row r="873">
      <c r="D873" s="13"/>
      <c r="F873" s="13"/>
      <c r="G873" s="13"/>
      <c r="H873" s="20"/>
    </row>
    <row r="874">
      <c r="D874" s="13"/>
      <c r="F874" s="13"/>
      <c r="G874" s="13"/>
      <c r="H874" s="20"/>
    </row>
    <row r="875">
      <c r="D875" s="13"/>
      <c r="F875" s="13"/>
      <c r="G875" s="13"/>
      <c r="H875" s="20"/>
    </row>
    <row r="876">
      <c r="D876" s="13"/>
      <c r="F876" s="13"/>
      <c r="G876" s="13"/>
      <c r="H876" s="20"/>
    </row>
    <row r="877">
      <c r="D877" s="13"/>
      <c r="F877" s="13"/>
      <c r="G877" s="13"/>
      <c r="H877" s="20"/>
    </row>
    <row r="878">
      <c r="D878" s="13"/>
      <c r="F878" s="13"/>
      <c r="G878" s="13"/>
      <c r="H878" s="20"/>
    </row>
    <row r="879">
      <c r="D879" s="13"/>
      <c r="F879" s="13"/>
      <c r="G879" s="13"/>
      <c r="H879" s="20"/>
    </row>
    <row r="880">
      <c r="D880" s="13"/>
      <c r="F880" s="13"/>
      <c r="G880" s="13"/>
      <c r="H880" s="20"/>
    </row>
    <row r="881">
      <c r="D881" s="13"/>
      <c r="F881" s="13"/>
      <c r="G881" s="13"/>
      <c r="H881" s="20"/>
    </row>
    <row r="882">
      <c r="D882" s="13"/>
      <c r="F882" s="13"/>
      <c r="G882" s="13"/>
      <c r="H882" s="20"/>
    </row>
    <row r="883">
      <c r="D883" s="13"/>
      <c r="F883" s="13"/>
      <c r="G883" s="13"/>
      <c r="H883" s="20"/>
    </row>
    <row r="884">
      <c r="D884" s="13"/>
      <c r="F884" s="13"/>
      <c r="G884" s="13"/>
      <c r="H884" s="20"/>
    </row>
    <row r="885">
      <c r="D885" s="13"/>
      <c r="F885" s="13"/>
      <c r="G885" s="13"/>
      <c r="H885" s="20"/>
    </row>
    <row r="886">
      <c r="D886" s="13"/>
      <c r="F886" s="13"/>
      <c r="G886" s="13"/>
      <c r="H886" s="20"/>
    </row>
    <row r="887">
      <c r="D887" s="13"/>
      <c r="F887" s="13"/>
      <c r="G887" s="13"/>
      <c r="H887" s="20"/>
    </row>
    <row r="888">
      <c r="D888" s="13"/>
      <c r="F888" s="13"/>
      <c r="G888" s="13"/>
      <c r="H888" s="20"/>
    </row>
    <row r="889">
      <c r="D889" s="13"/>
      <c r="F889" s="13"/>
      <c r="G889" s="13"/>
      <c r="H889" s="20"/>
    </row>
    <row r="890">
      <c r="D890" s="13"/>
      <c r="F890" s="13"/>
      <c r="G890" s="13"/>
      <c r="H890" s="20"/>
    </row>
    <row r="891">
      <c r="D891" s="13"/>
      <c r="F891" s="13"/>
      <c r="G891" s="13"/>
      <c r="H891" s="20"/>
    </row>
    <row r="892">
      <c r="D892" s="13"/>
      <c r="F892" s="13"/>
      <c r="G892" s="13"/>
      <c r="H892" s="20"/>
    </row>
    <row r="893">
      <c r="D893" s="13"/>
      <c r="F893" s="13"/>
      <c r="G893" s="13"/>
      <c r="H893" s="20"/>
    </row>
    <row r="894">
      <c r="D894" s="13"/>
      <c r="F894" s="13"/>
      <c r="G894" s="13"/>
      <c r="H894" s="20"/>
    </row>
    <row r="895">
      <c r="D895" s="13"/>
      <c r="F895" s="13"/>
      <c r="G895" s="13"/>
      <c r="H895" s="20"/>
    </row>
    <row r="896">
      <c r="D896" s="13"/>
      <c r="F896" s="13"/>
      <c r="G896" s="13"/>
      <c r="H896" s="20"/>
    </row>
    <row r="897">
      <c r="D897" s="13"/>
      <c r="F897" s="13"/>
      <c r="G897" s="13"/>
      <c r="H897" s="20"/>
    </row>
    <row r="898">
      <c r="D898" s="13"/>
      <c r="F898" s="13"/>
      <c r="G898" s="13"/>
      <c r="H898" s="20"/>
    </row>
    <row r="899">
      <c r="D899" s="13"/>
      <c r="F899" s="13"/>
      <c r="G899" s="13"/>
      <c r="H899" s="20"/>
    </row>
    <row r="900">
      <c r="D900" s="13"/>
      <c r="F900" s="13"/>
      <c r="G900" s="13"/>
      <c r="H900" s="20"/>
    </row>
    <row r="901">
      <c r="D901" s="13"/>
      <c r="F901" s="13"/>
      <c r="G901" s="13"/>
      <c r="H901" s="20"/>
    </row>
    <row r="902">
      <c r="D902" s="13"/>
      <c r="F902" s="13"/>
      <c r="G902" s="13"/>
      <c r="H902" s="20"/>
    </row>
    <row r="903">
      <c r="D903" s="13"/>
      <c r="F903" s="13"/>
      <c r="G903" s="13"/>
      <c r="H903" s="20"/>
    </row>
    <row r="904">
      <c r="D904" s="13"/>
      <c r="F904" s="13"/>
      <c r="G904" s="13"/>
      <c r="H904" s="20"/>
    </row>
    <row r="905">
      <c r="D905" s="13"/>
      <c r="F905" s="13"/>
      <c r="G905" s="13"/>
      <c r="H905" s="20"/>
    </row>
    <row r="906">
      <c r="D906" s="13"/>
      <c r="F906" s="13"/>
      <c r="G906" s="13"/>
      <c r="H906" s="20"/>
    </row>
    <row r="907">
      <c r="D907" s="13"/>
      <c r="F907" s="13"/>
      <c r="G907" s="13"/>
      <c r="H907" s="20"/>
    </row>
    <row r="908">
      <c r="D908" s="13"/>
      <c r="F908" s="13"/>
      <c r="G908" s="13"/>
      <c r="H908" s="20"/>
    </row>
    <row r="909">
      <c r="D909" s="13"/>
      <c r="F909" s="13"/>
      <c r="G909" s="13"/>
      <c r="H909" s="20"/>
    </row>
    <row r="910">
      <c r="D910" s="13"/>
      <c r="F910" s="13"/>
      <c r="G910" s="13"/>
      <c r="H910" s="20"/>
    </row>
    <row r="911">
      <c r="D911" s="13"/>
      <c r="F911" s="13"/>
      <c r="G911" s="13"/>
      <c r="H911" s="20"/>
    </row>
    <row r="912">
      <c r="D912" s="13"/>
      <c r="F912" s="13"/>
      <c r="G912" s="13"/>
      <c r="H912" s="20"/>
    </row>
    <row r="913">
      <c r="D913" s="13"/>
      <c r="F913" s="13"/>
      <c r="G913" s="13"/>
      <c r="H913" s="20"/>
    </row>
    <row r="914">
      <c r="D914" s="13"/>
      <c r="F914" s="13"/>
      <c r="G914" s="13"/>
      <c r="H914" s="20"/>
    </row>
    <row r="915">
      <c r="D915" s="13"/>
      <c r="F915" s="13"/>
      <c r="G915" s="13"/>
      <c r="H915" s="20"/>
    </row>
    <row r="916">
      <c r="D916" s="13"/>
      <c r="F916" s="13"/>
      <c r="G916" s="13"/>
      <c r="H916" s="20"/>
    </row>
    <row r="917">
      <c r="D917" s="13"/>
      <c r="F917" s="13"/>
      <c r="G917" s="13"/>
      <c r="H917" s="20"/>
    </row>
    <row r="918">
      <c r="D918" s="13"/>
      <c r="F918" s="13"/>
      <c r="G918" s="13"/>
      <c r="H918" s="20"/>
    </row>
    <row r="919">
      <c r="D919" s="13"/>
      <c r="F919" s="13"/>
      <c r="G919" s="13"/>
      <c r="H919" s="20"/>
    </row>
    <row r="920">
      <c r="D920" s="13"/>
      <c r="F920" s="13"/>
      <c r="G920" s="13"/>
      <c r="H920" s="20"/>
    </row>
    <row r="921">
      <c r="D921" s="13"/>
      <c r="F921" s="13"/>
      <c r="G921" s="13"/>
      <c r="H921" s="20"/>
    </row>
    <row r="922">
      <c r="D922" s="13"/>
      <c r="F922" s="13"/>
      <c r="G922" s="13"/>
      <c r="H922" s="20"/>
    </row>
    <row r="923">
      <c r="D923" s="13"/>
      <c r="F923" s="13"/>
      <c r="G923" s="13"/>
      <c r="H923" s="20"/>
    </row>
    <row r="924">
      <c r="D924" s="13"/>
      <c r="F924" s="13"/>
      <c r="G924" s="13"/>
      <c r="H924" s="20"/>
    </row>
    <row r="925">
      <c r="D925" s="13"/>
      <c r="F925" s="13"/>
      <c r="G925" s="13"/>
      <c r="H925" s="20"/>
    </row>
    <row r="926">
      <c r="D926" s="13"/>
      <c r="F926" s="13"/>
      <c r="G926" s="13"/>
      <c r="H926" s="20"/>
    </row>
    <row r="927">
      <c r="D927" s="13"/>
      <c r="F927" s="13"/>
      <c r="G927" s="13"/>
      <c r="H927" s="20"/>
    </row>
    <row r="928">
      <c r="D928" s="13"/>
      <c r="F928" s="13"/>
      <c r="G928" s="13"/>
      <c r="H928" s="20"/>
    </row>
    <row r="929">
      <c r="D929" s="13"/>
      <c r="F929" s="13"/>
      <c r="G929" s="13"/>
      <c r="H929" s="20"/>
    </row>
    <row r="930">
      <c r="D930" s="13"/>
      <c r="F930" s="13"/>
      <c r="G930" s="13"/>
      <c r="H930" s="20"/>
    </row>
    <row r="931">
      <c r="D931" s="13"/>
      <c r="F931" s="13"/>
      <c r="G931" s="13"/>
      <c r="H931" s="20"/>
    </row>
    <row r="932">
      <c r="D932" s="13"/>
      <c r="F932" s="13"/>
      <c r="G932" s="13"/>
      <c r="H932" s="20"/>
    </row>
    <row r="933">
      <c r="D933" s="13"/>
      <c r="F933" s="13"/>
      <c r="G933" s="13"/>
      <c r="H933" s="20"/>
    </row>
    <row r="934">
      <c r="D934" s="13"/>
      <c r="F934" s="13"/>
      <c r="G934" s="13"/>
      <c r="H934" s="20"/>
    </row>
    <row r="935">
      <c r="D935" s="13"/>
      <c r="F935" s="13"/>
      <c r="G935" s="13"/>
      <c r="H935" s="20"/>
    </row>
    <row r="936">
      <c r="D936" s="13"/>
      <c r="F936" s="13"/>
      <c r="G936" s="13"/>
      <c r="H936" s="20"/>
    </row>
    <row r="937">
      <c r="D937" s="13"/>
      <c r="F937" s="13"/>
      <c r="G937" s="13"/>
      <c r="H937" s="20"/>
    </row>
    <row r="938">
      <c r="D938" s="13"/>
      <c r="F938" s="13"/>
      <c r="G938" s="13"/>
      <c r="H938" s="20"/>
    </row>
    <row r="939">
      <c r="D939" s="13"/>
      <c r="F939" s="13"/>
      <c r="G939" s="13"/>
      <c r="H939" s="20"/>
    </row>
    <row r="940">
      <c r="D940" s="13"/>
      <c r="F940" s="13"/>
      <c r="G940" s="13"/>
      <c r="H940" s="20"/>
    </row>
    <row r="941">
      <c r="D941" s="13"/>
      <c r="F941" s="13"/>
      <c r="G941" s="13"/>
      <c r="H941" s="20"/>
    </row>
    <row r="942">
      <c r="D942" s="13"/>
      <c r="F942" s="13"/>
      <c r="G942" s="13"/>
      <c r="H942" s="20"/>
    </row>
    <row r="943">
      <c r="D943" s="13"/>
      <c r="F943" s="13"/>
      <c r="G943" s="13"/>
      <c r="H943" s="20"/>
    </row>
    <row r="944">
      <c r="D944" s="13"/>
      <c r="F944" s="13"/>
      <c r="G944" s="13"/>
      <c r="H944" s="20"/>
    </row>
    <row r="945">
      <c r="D945" s="13"/>
      <c r="F945" s="13"/>
      <c r="G945" s="13"/>
      <c r="H945" s="20"/>
    </row>
    <row r="946">
      <c r="D946" s="13"/>
      <c r="F946" s="13"/>
      <c r="G946" s="13"/>
      <c r="H946" s="20"/>
    </row>
    <row r="947">
      <c r="D947" s="13"/>
      <c r="F947" s="13"/>
      <c r="G947" s="13"/>
      <c r="H947" s="20"/>
    </row>
    <row r="948">
      <c r="D948" s="13"/>
      <c r="F948" s="13"/>
      <c r="G948" s="13"/>
      <c r="H948" s="20"/>
    </row>
    <row r="949">
      <c r="D949" s="13"/>
      <c r="F949" s="13"/>
      <c r="G949" s="13"/>
      <c r="H949" s="20"/>
    </row>
    <row r="950">
      <c r="D950" s="13"/>
      <c r="F950" s="13"/>
      <c r="G950" s="13"/>
      <c r="H950" s="20"/>
    </row>
    <row r="951">
      <c r="D951" s="13"/>
      <c r="F951" s="13"/>
      <c r="G951" s="13"/>
      <c r="H951" s="20"/>
    </row>
    <row r="952">
      <c r="D952" s="13"/>
      <c r="F952" s="13"/>
      <c r="G952" s="13"/>
      <c r="H952" s="20"/>
    </row>
    <row r="953">
      <c r="D953" s="13"/>
      <c r="F953" s="13"/>
      <c r="G953" s="13"/>
      <c r="H953" s="20"/>
    </row>
    <row r="954">
      <c r="D954" s="13"/>
      <c r="F954" s="13"/>
      <c r="G954" s="13"/>
      <c r="H954" s="20"/>
    </row>
    <row r="955">
      <c r="D955" s="13"/>
      <c r="F955" s="13"/>
      <c r="G955" s="13"/>
      <c r="H955" s="20"/>
    </row>
    <row r="956">
      <c r="D956" s="13"/>
      <c r="F956" s="13"/>
      <c r="G956" s="13"/>
      <c r="H956" s="20"/>
    </row>
    <row r="957">
      <c r="D957" s="13"/>
      <c r="F957" s="13"/>
      <c r="G957" s="13"/>
      <c r="H957" s="20"/>
    </row>
    <row r="958">
      <c r="D958" s="13"/>
      <c r="F958" s="13"/>
      <c r="G958" s="13"/>
      <c r="H958" s="20"/>
    </row>
    <row r="959">
      <c r="D959" s="13"/>
      <c r="F959" s="13"/>
      <c r="G959" s="13"/>
      <c r="H959" s="20"/>
    </row>
    <row r="960">
      <c r="D960" s="13"/>
      <c r="F960" s="13"/>
      <c r="G960" s="13"/>
      <c r="H960" s="20"/>
    </row>
    <row r="961">
      <c r="D961" s="13"/>
      <c r="F961" s="13"/>
      <c r="G961" s="13"/>
      <c r="H961" s="20"/>
    </row>
    <row r="962">
      <c r="D962" s="13"/>
      <c r="F962" s="13"/>
      <c r="G962" s="13"/>
      <c r="H962" s="20"/>
    </row>
    <row r="963">
      <c r="D963" s="13"/>
      <c r="F963" s="13"/>
      <c r="G963" s="13"/>
      <c r="H963" s="20"/>
    </row>
    <row r="964">
      <c r="D964" s="13"/>
      <c r="F964" s="13"/>
      <c r="G964" s="13"/>
      <c r="H964" s="20"/>
    </row>
    <row r="965">
      <c r="D965" s="13"/>
      <c r="F965" s="13"/>
      <c r="G965" s="13"/>
      <c r="H965" s="20"/>
    </row>
    <row r="966">
      <c r="D966" s="13"/>
      <c r="F966" s="13"/>
      <c r="G966" s="13"/>
      <c r="H966" s="20"/>
    </row>
    <row r="967">
      <c r="D967" s="13"/>
      <c r="F967" s="13"/>
      <c r="G967" s="13"/>
      <c r="H967" s="20"/>
    </row>
    <row r="968">
      <c r="D968" s="13"/>
      <c r="F968" s="13"/>
      <c r="G968" s="13"/>
      <c r="H968" s="20"/>
    </row>
    <row r="969">
      <c r="D969" s="13"/>
      <c r="F969" s="13"/>
      <c r="G969" s="13"/>
      <c r="H969" s="20"/>
    </row>
    <row r="970">
      <c r="D970" s="13"/>
      <c r="F970" s="13"/>
      <c r="G970" s="13"/>
      <c r="H970" s="20"/>
    </row>
    <row r="971">
      <c r="D971" s="13"/>
      <c r="F971" s="13"/>
      <c r="G971" s="13"/>
      <c r="H971" s="20"/>
    </row>
    <row r="972">
      <c r="D972" s="13"/>
      <c r="F972" s="13"/>
      <c r="G972" s="13"/>
      <c r="H972" s="20"/>
    </row>
    <row r="973">
      <c r="D973" s="13"/>
      <c r="F973" s="13"/>
      <c r="G973" s="13"/>
      <c r="H973" s="20"/>
    </row>
    <row r="974">
      <c r="D974" s="13"/>
      <c r="F974" s="13"/>
      <c r="G974" s="13"/>
      <c r="H974" s="20"/>
    </row>
    <row r="975">
      <c r="D975" s="13"/>
      <c r="F975" s="13"/>
      <c r="G975" s="13"/>
      <c r="H975" s="20"/>
    </row>
    <row r="976">
      <c r="D976" s="13"/>
      <c r="F976" s="13"/>
      <c r="G976" s="13"/>
      <c r="H976" s="20"/>
    </row>
    <row r="977">
      <c r="D977" s="13"/>
      <c r="F977" s="13"/>
      <c r="G977" s="13"/>
      <c r="H977" s="20"/>
    </row>
    <row r="978">
      <c r="D978" s="13"/>
      <c r="F978" s="13"/>
      <c r="G978" s="13"/>
      <c r="H978" s="20"/>
    </row>
    <row r="979">
      <c r="D979" s="13"/>
      <c r="F979" s="13"/>
      <c r="G979" s="13"/>
      <c r="H979" s="20"/>
    </row>
    <row r="980">
      <c r="D980" s="13"/>
      <c r="F980" s="13"/>
      <c r="G980" s="13"/>
      <c r="H980" s="20"/>
    </row>
    <row r="981">
      <c r="D981" s="13"/>
      <c r="F981" s="13"/>
      <c r="G981" s="13"/>
      <c r="H981" s="20"/>
    </row>
    <row r="982">
      <c r="D982" s="13"/>
      <c r="F982" s="13"/>
      <c r="G982" s="13"/>
      <c r="H982" s="20"/>
    </row>
    <row r="983">
      <c r="D983" s="13"/>
      <c r="F983" s="13"/>
      <c r="G983" s="13"/>
      <c r="H983" s="20"/>
    </row>
    <row r="984">
      <c r="D984" s="13"/>
      <c r="F984" s="13"/>
      <c r="G984" s="13"/>
      <c r="H984" s="20"/>
    </row>
    <row r="985">
      <c r="D985" s="13"/>
      <c r="F985" s="13"/>
      <c r="G985" s="13"/>
      <c r="H985" s="20"/>
    </row>
    <row r="986">
      <c r="D986" s="13"/>
      <c r="F986" s="13"/>
      <c r="G986" s="13"/>
      <c r="H986" s="20"/>
    </row>
    <row r="987">
      <c r="D987" s="13"/>
      <c r="F987" s="13"/>
      <c r="G987" s="13"/>
      <c r="H987" s="20"/>
    </row>
    <row r="988">
      <c r="D988" s="13"/>
      <c r="F988" s="13"/>
      <c r="G988" s="13"/>
      <c r="H988" s="20"/>
    </row>
    <row r="989">
      <c r="D989" s="13"/>
      <c r="F989" s="13"/>
      <c r="G989" s="13"/>
      <c r="H989" s="20"/>
    </row>
    <row r="990">
      <c r="D990" s="13"/>
      <c r="F990" s="13"/>
      <c r="G990" s="13"/>
      <c r="H990" s="20"/>
    </row>
    <row r="991">
      <c r="D991" s="13"/>
      <c r="F991" s="13"/>
      <c r="G991" s="13"/>
      <c r="H991" s="20"/>
    </row>
    <row r="992">
      <c r="D992" s="13"/>
      <c r="F992" s="13"/>
      <c r="G992" s="13"/>
      <c r="H992" s="20"/>
    </row>
    <row r="993">
      <c r="D993" s="13"/>
      <c r="F993" s="13"/>
      <c r="G993" s="13"/>
      <c r="H993" s="20"/>
    </row>
    <row r="994">
      <c r="D994" s="13"/>
      <c r="F994" s="13"/>
      <c r="G994" s="13"/>
      <c r="H994" s="20"/>
    </row>
    <row r="995">
      <c r="D995" s="13"/>
      <c r="F995" s="13"/>
      <c r="G995" s="13"/>
      <c r="H995" s="20"/>
    </row>
    <row r="996">
      <c r="D996" s="13"/>
      <c r="F996" s="13"/>
      <c r="G996" s="13"/>
      <c r="H996" s="20"/>
    </row>
    <row r="997">
      <c r="D997" s="13"/>
      <c r="F997" s="13"/>
      <c r="G997" s="13"/>
      <c r="H997" s="20"/>
    </row>
    <row r="998">
      <c r="D998" s="13"/>
      <c r="F998" s="13"/>
      <c r="G998" s="13"/>
      <c r="H998" s="20"/>
    </row>
    <row r="999">
      <c r="D999" s="13"/>
      <c r="F999" s="13"/>
      <c r="G999" s="13"/>
      <c r="H999" s="20"/>
    </row>
    <row r="1000">
      <c r="D1000" s="13"/>
      <c r="F1000" s="13"/>
      <c r="G1000" s="13"/>
      <c r="H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38"/>
  </cols>
  <sheetData>
    <row r="1" ht="15.0" customHeight="1">
      <c r="A1" s="2" t="s">
        <v>1</v>
      </c>
      <c r="B1" s="3" t="s">
        <v>0</v>
      </c>
      <c r="C1" s="3" t="s">
        <v>2</v>
      </c>
      <c r="D1" s="5" t="s">
        <v>5</v>
      </c>
      <c r="E1" s="3" t="s">
        <v>3</v>
      </c>
      <c r="F1" s="3" t="s">
        <v>8</v>
      </c>
      <c r="G1" s="3" t="s">
        <v>11</v>
      </c>
      <c r="H1" s="3" t="s">
        <v>4</v>
      </c>
      <c r="I1" s="5" t="s">
        <v>12</v>
      </c>
      <c r="J1" s="1" t="s">
        <v>6</v>
      </c>
      <c r="K1" s="3" t="s">
        <v>9</v>
      </c>
      <c r="L1" s="3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>
        <f>'IG Raw Data'!A2</f>
        <v>45658</v>
      </c>
      <c r="B2" s="14">
        <f t="shared" ref="B2:B366" si="1">MONTH(A2)</f>
        <v>1</v>
      </c>
      <c r="C2" s="16">
        <f>'IG Raw Data'!B2</f>
        <v>27382</v>
      </c>
      <c r="D2" s="17">
        <f t="shared" ref="D2:D366" si="2">E2/C2</f>
        <v>0.0176393251</v>
      </c>
      <c r="E2" s="16">
        <f>'IG Raw Data'!C2</f>
        <v>483</v>
      </c>
      <c r="F2" s="19">
        <f t="shared" ref="F2:F366" si="3">H2/E2</f>
        <v>1.33747412</v>
      </c>
      <c r="G2" s="19">
        <f t="shared" ref="G2:G366" si="4">H2/(C2/1000)</f>
        <v>23.59214082</v>
      </c>
      <c r="H2" s="19">
        <f>'IG Raw Data'!D2</f>
        <v>646</v>
      </c>
      <c r="I2" s="17">
        <f t="shared" ref="I2:I366" si="5">J2/E2</f>
        <v>0.016563147</v>
      </c>
      <c r="J2" s="20">
        <f>'IG Raw Data'!E2</f>
        <v>8</v>
      </c>
      <c r="K2" s="22">
        <f t="shared" ref="K2:K366" si="6">L2/J2</f>
        <v>171.875</v>
      </c>
      <c r="L2" s="22">
        <f>'IG Raw Data'!F2</f>
        <v>1375</v>
      </c>
    </row>
    <row r="3">
      <c r="A3" s="11">
        <f>'IG Raw Data'!A3</f>
        <v>45659</v>
      </c>
      <c r="B3" s="14">
        <f t="shared" si="1"/>
        <v>1</v>
      </c>
      <c r="C3" s="16">
        <f>'IG Raw Data'!B3</f>
        <v>99168</v>
      </c>
      <c r="D3" s="17">
        <f t="shared" si="2"/>
        <v>0.01574096483</v>
      </c>
      <c r="E3" s="16">
        <f>'IG Raw Data'!C3</f>
        <v>1561</v>
      </c>
      <c r="F3" s="19">
        <f t="shared" si="3"/>
        <v>1.444586803</v>
      </c>
      <c r="G3" s="19">
        <f t="shared" si="4"/>
        <v>22.73919006</v>
      </c>
      <c r="H3" s="19">
        <f>'IG Raw Data'!D3</f>
        <v>2255</v>
      </c>
      <c r="I3" s="17">
        <f t="shared" si="5"/>
        <v>0.02242152466</v>
      </c>
      <c r="J3" s="20">
        <f>'IG Raw Data'!E3</f>
        <v>35</v>
      </c>
      <c r="K3" s="22">
        <f t="shared" si="6"/>
        <v>147.4</v>
      </c>
      <c r="L3" s="22">
        <f>'IG Raw Data'!F3</f>
        <v>5159</v>
      </c>
    </row>
    <row r="4">
      <c r="A4" s="11">
        <f>'IG Raw Data'!A4</f>
        <v>45660</v>
      </c>
      <c r="B4" s="14">
        <f t="shared" si="1"/>
        <v>1</v>
      </c>
      <c r="C4" s="16">
        <f>'IG Raw Data'!B4</f>
        <v>14891</v>
      </c>
      <c r="D4" s="17">
        <f t="shared" si="2"/>
        <v>0.01833322141</v>
      </c>
      <c r="E4" s="16">
        <f>'IG Raw Data'!C4</f>
        <v>273</v>
      </c>
      <c r="F4" s="19">
        <f t="shared" si="3"/>
        <v>1.139194139</v>
      </c>
      <c r="G4" s="19">
        <f t="shared" si="4"/>
        <v>20.88509838</v>
      </c>
      <c r="H4" s="19">
        <f>'IG Raw Data'!D4</f>
        <v>311</v>
      </c>
      <c r="I4" s="17">
        <f t="shared" si="5"/>
        <v>0.02197802198</v>
      </c>
      <c r="J4" s="20">
        <f>'IG Raw Data'!E4</f>
        <v>6</v>
      </c>
      <c r="K4" s="22">
        <f t="shared" si="6"/>
        <v>119.5</v>
      </c>
      <c r="L4" s="22">
        <f>'IG Raw Data'!F4</f>
        <v>717</v>
      </c>
    </row>
    <row r="5">
      <c r="A5" s="11">
        <f>'IG Raw Data'!A5</f>
        <v>45661</v>
      </c>
      <c r="B5" s="14">
        <f t="shared" si="1"/>
        <v>1</v>
      </c>
      <c r="C5" s="16">
        <f>'IG Raw Data'!B5</f>
        <v>42989</v>
      </c>
      <c r="D5" s="17">
        <f t="shared" si="2"/>
        <v>0.01586452348</v>
      </c>
      <c r="E5" s="16">
        <f>'IG Raw Data'!C5</f>
        <v>682</v>
      </c>
      <c r="F5" s="19">
        <f t="shared" si="3"/>
        <v>1.747800587</v>
      </c>
      <c r="G5" s="19">
        <f t="shared" si="4"/>
        <v>27.72802345</v>
      </c>
      <c r="H5" s="19">
        <f>'IG Raw Data'!D5</f>
        <v>1192</v>
      </c>
      <c r="I5" s="17">
        <f t="shared" si="5"/>
        <v>0.01906158358</v>
      </c>
      <c r="J5" s="20">
        <f>'IG Raw Data'!E5</f>
        <v>13</v>
      </c>
      <c r="K5" s="22">
        <f t="shared" si="6"/>
        <v>228.3846154</v>
      </c>
      <c r="L5" s="22">
        <f>'IG Raw Data'!F5</f>
        <v>2969</v>
      </c>
    </row>
    <row r="6">
      <c r="A6" s="11">
        <f>'IG Raw Data'!A6</f>
        <v>45662</v>
      </c>
      <c r="B6" s="14">
        <f t="shared" si="1"/>
        <v>1</v>
      </c>
      <c r="C6" s="16">
        <f>'IG Raw Data'!B6</f>
        <v>36381</v>
      </c>
      <c r="D6" s="17">
        <f t="shared" si="2"/>
        <v>0.01536516313</v>
      </c>
      <c r="E6" s="16">
        <f>'IG Raw Data'!C6</f>
        <v>559</v>
      </c>
      <c r="F6" s="19">
        <f t="shared" si="3"/>
        <v>1.402504472</v>
      </c>
      <c r="G6" s="19">
        <f t="shared" si="4"/>
        <v>21.54971001</v>
      </c>
      <c r="H6" s="19">
        <f>'IG Raw Data'!D6</f>
        <v>784</v>
      </c>
      <c r="I6" s="17">
        <f t="shared" si="5"/>
        <v>0.02325581395</v>
      </c>
      <c r="J6" s="20">
        <f>'IG Raw Data'!E6</f>
        <v>13</v>
      </c>
      <c r="K6" s="22">
        <f t="shared" si="6"/>
        <v>196.6153846</v>
      </c>
      <c r="L6" s="22">
        <f>'IG Raw Data'!F6</f>
        <v>2556</v>
      </c>
    </row>
    <row r="7">
      <c r="A7" s="11">
        <f>'IG Raw Data'!A7</f>
        <v>45663</v>
      </c>
      <c r="B7" s="14">
        <f t="shared" si="1"/>
        <v>1</v>
      </c>
      <c r="C7" s="16">
        <f>'IG Raw Data'!B7</f>
        <v>56836</v>
      </c>
      <c r="D7" s="17">
        <f t="shared" si="2"/>
        <v>0.0198641706</v>
      </c>
      <c r="E7" s="16">
        <f>'IG Raw Data'!C7</f>
        <v>1129</v>
      </c>
      <c r="F7" s="19">
        <f t="shared" si="3"/>
        <v>1.784765279</v>
      </c>
      <c r="G7" s="19">
        <f t="shared" si="4"/>
        <v>35.45288198</v>
      </c>
      <c r="H7" s="19">
        <f>'IG Raw Data'!D7</f>
        <v>2015</v>
      </c>
      <c r="I7" s="17">
        <f t="shared" si="5"/>
        <v>0.01417183348</v>
      </c>
      <c r="J7" s="20">
        <f>'IG Raw Data'!E7</f>
        <v>16</v>
      </c>
      <c r="K7" s="22">
        <f t="shared" si="6"/>
        <v>168.5625</v>
      </c>
      <c r="L7" s="22">
        <f>'IG Raw Data'!F7</f>
        <v>2697</v>
      </c>
    </row>
    <row r="8">
      <c r="A8" s="11">
        <f>'IG Raw Data'!A8</f>
        <v>45664</v>
      </c>
      <c r="B8" s="14">
        <f t="shared" si="1"/>
        <v>1</v>
      </c>
      <c r="C8" s="16">
        <f>'IG Raw Data'!B8</f>
        <v>45926</v>
      </c>
      <c r="D8" s="17">
        <f t="shared" si="2"/>
        <v>0.0249314114</v>
      </c>
      <c r="E8" s="16">
        <f>'IG Raw Data'!C8</f>
        <v>1145</v>
      </c>
      <c r="F8" s="19">
        <f t="shared" si="3"/>
        <v>1.063755459</v>
      </c>
      <c r="G8" s="19">
        <f t="shared" si="4"/>
        <v>26.52092497</v>
      </c>
      <c r="H8" s="19">
        <f>'IG Raw Data'!D8</f>
        <v>1218</v>
      </c>
      <c r="I8" s="17">
        <f t="shared" si="5"/>
        <v>0.02445414847</v>
      </c>
      <c r="J8" s="20">
        <f>'IG Raw Data'!E8</f>
        <v>28</v>
      </c>
      <c r="K8" s="22">
        <f t="shared" si="6"/>
        <v>198.1785714</v>
      </c>
      <c r="L8" s="22">
        <f>'IG Raw Data'!F8</f>
        <v>5549</v>
      </c>
    </row>
    <row r="9">
      <c r="A9" s="11">
        <f>'IG Raw Data'!A9</f>
        <v>45665</v>
      </c>
      <c r="B9" s="14">
        <f t="shared" si="1"/>
        <v>1</v>
      </c>
      <c r="C9" s="16">
        <f>'IG Raw Data'!B9</f>
        <v>43071</v>
      </c>
      <c r="D9" s="17">
        <f t="shared" si="2"/>
        <v>0.00826542221</v>
      </c>
      <c r="E9" s="16">
        <f>'IG Raw Data'!C9</f>
        <v>356</v>
      </c>
      <c r="F9" s="19">
        <f t="shared" si="3"/>
        <v>1.691011236</v>
      </c>
      <c r="G9" s="19">
        <f t="shared" si="4"/>
        <v>13.97692183</v>
      </c>
      <c r="H9" s="19">
        <f>'IG Raw Data'!D9</f>
        <v>602</v>
      </c>
      <c r="I9" s="17">
        <f t="shared" si="5"/>
        <v>0.02528089888</v>
      </c>
      <c r="J9" s="20">
        <f>'IG Raw Data'!E9</f>
        <v>9</v>
      </c>
      <c r="K9" s="22">
        <f t="shared" si="6"/>
        <v>155</v>
      </c>
      <c r="L9" s="22">
        <f>'IG Raw Data'!F9</f>
        <v>1395</v>
      </c>
    </row>
    <row r="10">
      <c r="A10" s="11">
        <f>'IG Raw Data'!A10</f>
        <v>45666</v>
      </c>
      <c r="B10" s="14">
        <f t="shared" si="1"/>
        <v>1</v>
      </c>
      <c r="C10" s="16">
        <f>'IG Raw Data'!B10</f>
        <v>82343</v>
      </c>
      <c r="D10" s="17">
        <f t="shared" si="2"/>
        <v>0.0226734513</v>
      </c>
      <c r="E10" s="16">
        <f>'IG Raw Data'!C10</f>
        <v>1867</v>
      </c>
      <c r="F10" s="19">
        <f t="shared" si="3"/>
        <v>1.258168184</v>
      </c>
      <c r="G10" s="19">
        <f t="shared" si="4"/>
        <v>28.52701505</v>
      </c>
      <c r="H10" s="19">
        <f>'IG Raw Data'!D10</f>
        <v>2349</v>
      </c>
      <c r="I10" s="17">
        <f t="shared" si="5"/>
        <v>0.01606855919</v>
      </c>
      <c r="J10" s="20">
        <f>'IG Raw Data'!E10</f>
        <v>30</v>
      </c>
      <c r="K10" s="22">
        <f t="shared" si="6"/>
        <v>194.5</v>
      </c>
      <c r="L10" s="22">
        <f>'IG Raw Data'!F10</f>
        <v>5835</v>
      </c>
    </row>
    <row r="11">
      <c r="A11" s="11">
        <f>'IG Raw Data'!A11</f>
        <v>45667</v>
      </c>
      <c r="B11" s="14">
        <f t="shared" si="1"/>
        <v>1</v>
      </c>
      <c r="C11" s="16">
        <f>'IG Raw Data'!B11</f>
        <v>76027</v>
      </c>
      <c r="D11" s="17">
        <f t="shared" si="2"/>
        <v>0.01642837413</v>
      </c>
      <c r="E11" s="16">
        <f>'IG Raw Data'!C11</f>
        <v>1249</v>
      </c>
      <c r="F11" s="19">
        <f t="shared" si="3"/>
        <v>1.934347478</v>
      </c>
      <c r="G11" s="19">
        <f t="shared" si="4"/>
        <v>31.77818407</v>
      </c>
      <c r="H11" s="19">
        <f>'IG Raw Data'!D11</f>
        <v>2416</v>
      </c>
      <c r="I11" s="17">
        <f t="shared" si="5"/>
        <v>0.0128102482</v>
      </c>
      <c r="J11" s="20">
        <f>'IG Raw Data'!E11</f>
        <v>16</v>
      </c>
      <c r="K11" s="22">
        <f t="shared" si="6"/>
        <v>192.8125</v>
      </c>
      <c r="L11" s="22">
        <f>'IG Raw Data'!F11</f>
        <v>3085</v>
      </c>
    </row>
    <row r="12">
      <c r="A12" s="11">
        <f>'IG Raw Data'!A12</f>
        <v>45668</v>
      </c>
      <c r="B12" s="14">
        <f t="shared" si="1"/>
        <v>1</v>
      </c>
      <c r="C12" s="16">
        <f>'IG Raw Data'!B12</f>
        <v>80956</v>
      </c>
      <c r="D12" s="17">
        <f t="shared" si="2"/>
        <v>0.009054301102</v>
      </c>
      <c r="E12" s="16">
        <f>'IG Raw Data'!C12</f>
        <v>733</v>
      </c>
      <c r="F12" s="19">
        <f t="shared" si="3"/>
        <v>1.744884038</v>
      </c>
      <c r="G12" s="19">
        <f t="shared" si="4"/>
        <v>15.79870547</v>
      </c>
      <c r="H12" s="19">
        <f>'IG Raw Data'!D12</f>
        <v>1279</v>
      </c>
      <c r="I12" s="17">
        <f t="shared" si="5"/>
        <v>0.02455661664</v>
      </c>
      <c r="J12" s="20">
        <f>'IG Raw Data'!E12</f>
        <v>18</v>
      </c>
      <c r="K12" s="22">
        <f t="shared" si="6"/>
        <v>161.7777778</v>
      </c>
      <c r="L12" s="22">
        <f>'IG Raw Data'!F12</f>
        <v>2912</v>
      </c>
    </row>
    <row r="13">
      <c r="A13" s="11">
        <f>'IG Raw Data'!A13</f>
        <v>45669</v>
      </c>
      <c r="B13" s="14">
        <f t="shared" si="1"/>
        <v>1</v>
      </c>
      <c r="C13" s="16">
        <f>'IG Raw Data'!B13</f>
        <v>68072</v>
      </c>
      <c r="D13" s="17">
        <f t="shared" si="2"/>
        <v>0.01956751675</v>
      </c>
      <c r="E13" s="16">
        <f>'IG Raw Data'!C13</f>
        <v>1332</v>
      </c>
      <c r="F13" s="19">
        <f t="shared" si="3"/>
        <v>1.777027027</v>
      </c>
      <c r="G13" s="19">
        <f t="shared" si="4"/>
        <v>34.77200611</v>
      </c>
      <c r="H13" s="19">
        <f>'IG Raw Data'!D13</f>
        <v>2367</v>
      </c>
      <c r="I13" s="17">
        <f t="shared" si="5"/>
        <v>0.01126126126</v>
      </c>
      <c r="J13" s="20">
        <f>'IG Raw Data'!E13</f>
        <v>15</v>
      </c>
      <c r="K13" s="22">
        <f t="shared" si="6"/>
        <v>215.6</v>
      </c>
      <c r="L13" s="22">
        <f>'IG Raw Data'!F13</f>
        <v>3234</v>
      </c>
    </row>
    <row r="14">
      <c r="A14" s="11">
        <f>'IG Raw Data'!A14</f>
        <v>45670</v>
      </c>
      <c r="B14" s="14">
        <f t="shared" si="1"/>
        <v>1</v>
      </c>
      <c r="C14" s="16">
        <f>'IG Raw Data'!B14</f>
        <v>97608</v>
      </c>
      <c r="D14" s="17">
        <f t="shared" si="2"/>
        <v>0.01994713548</v>
      </c>
      <c r="E14" s="16">
        <f>'IG Raw Data'!C14</f>
        <v>1947</v>
      </c>
      <c r="F14" s="19">
        <f t="shared" si="3"/>
        <v>1.08988187</v>
      </c>
      <c r="G14" s="19">
        <f t="shared" si="4"/>
        <v>21.74002131</v>
      </c>
      <c r="H14" s="19">
        <f>'IG Raw Data'!D14</f>
        <v>2122</v>
      </c>
      <c r="I14" s="17">
        <f t="shared" si="5"/>
        <v>0.01489470981</v>
      </c>
      <c r="J14" s="20">
        <f>'IG Raw Data'!E14</f>
        <v>29</v>
      </c>
      <c r="K14" s="22">
        <f t="shared" si="6"/>
        <v>117.0689655</v>
      </c>
      <c r="L14" s="22">
        <f>'IG Raw Data'!F14</f>
        <v>3395</v>
      </c>
    </row>
    <row r="15">
      <c r="A15" s="11">
        <f>'IG Raw Data'!A15</f>
        <v>45671</v>
      </c>
      <c r="B15" s="14">
        <f t="shared" si="1"/>
        <v>1</v>
      </c>
      <c r="C15" s="16">
        <f>'IG Raw Data'!B15</f>
        <v>68669</v>
      </c>
      <c r="D15" s="17">
        <f t="shared" si="2"/>
        <v>0.01799938837</v>
      </c>
      <c r="E15" s="16">
        <f>'IG Raw Data'!C15</f>
        <v>1236</v>
      </c>
      <c r="F15" s="19">
        <f t="shared" si="3"/>
        <v>2.008899676</v>
      </c>
      <c r="G15" s="19">
        <f t="shared" si="4"/>
        <v>36.15896547</v>
      </c>
      <c r="H15" s="19">
        <f>'IG Raw Data'!D15</f>
        <v>2483</v>
      </c>
      <c r="I15" s="17">
        <f t="shared" si="5"/>
        <v>0.01941747573</v>
      </c>
      <c r="J15" s="20">
        <f>'IG Raw Data'!E15</f>
        <v>24</v>
      </c>
      <c r="K15" s="22">
        <f t="shared" si="6"/>
        <v>149.375</v>
      </c>
      <c r="L15" s="22">
        <f>'IG Raw Data'!F15</f>
        <v>3585</v>
      </c>
    </row>
    <row r="16">
      <c r="A16" s="11">
        <f>'IG Raw Data'!A16</f>
        <v>45672</v>
      </c>
      <c r="B16" s="14">
        <f t="shared" si="1"/>
        <v>1</v>
      </c>
      <c r="C16" s="16">
        <f>'IG Raw Data'!B16</f>
        <v>65250</v>
      </c>
      <c r="D16" s="17">
        <f t="shared" si="2"/>
        <v>0.03069731801</v>
      </c>
      <c r="E16" s="16">
        <f>'IG Raw Data'!C16</f>
        <v>2003</v>
      </c>
      <c r="F16" s="19">
        <f t="shared" si="3"/>
        <v>1.239141288</v>
      </c>
      <c r="G16" s="19">
        <f t="shared" si="4"/>
        <v>38.03831418</v>
      </c>
      <c r="H16" s="19">
        <f>'IG Raw Data'!D16</f>
        <v>2482</v>
      </c>
      <c r="I16" s="17">
        <f t="shared" si="5"/>
        <v>0.01198202696</v>
      </c>
      <c r="J16" s="20">
        <f>'IG Raw Data'!E16</f>
        <v>24</v>
      </c>
      <c r="K16" s="22">
        <f t="shared" si="6"/>
        <v>101.5</v>
      </c>
      <c r="L16" s="22">
        <f>'IG Raw Data'!F16</f>
        <v>2436</v>
      </c>
    </row>
    <row r="17">
      <c r="A17" s="11">
        <f>'IG Raw Data'!A17</f>
        <v>45673</v>
      </c>
      <c r="B17" s="14">
        <f t="shared" si="1"/>
        <v>1</v>
      </c>
      <c r="C17" s="16">
        <f>'IG Raw Data'!B17</f>
        <v>20589</v>
      </c>
      <c r="D17" s="17">
        <f t="shared" si="2"/>
        <v>0.02817038224</v>
      </c>
      <c r="E17" s="16">
        <f>'IG Raw Data'!C17</f>
        <v>580</v>
      </c>
      <c r="F17" s="19">
        <f t="shared" si="3"/>
        <v>1.972413793</v>
      </c>
      <c r="G17" s="19">
        <f t="shared" si="4"/>
        <v>55.56365049</v>
      </c>
      <c r="H17" s="19">
        <f>'IG Raw Data'!D17</f>
        <v>1144</v>
      </c>
      <c r="I17" s="17">
        <f t="shared" si="5"/>
        <v>0.01724137931</v>
      </c>
      <c r="J17" s="20">
        <f>'IG Raw Data'!E17</f>
        <v>10</v>
      </c>
      <c r="K17" s="22">
        <f t="shared" si="6"/>
        <v>151.8</v>
      </c>
      <c r="L17" s="22">
        <f>'IG Raw Data'!F17</f>
        <v>1518</v>
      </c>
    </row>
    <row r="18">
      <c r="A18" s="11">
        <f>'IG Raw Data'!A18</f>
        <v>45674</v>
      </c>
      <c r="B18" s="14">
        <f t="shared" si="1"/>
        <v>1</v>
      </c>
      <c r="C18" s="16">
        <f>'IG Raw Data'!B18</f>
        <v>92484</v>
      </c>
      <c r="D18" s="17">
        <f t="shared" si="2"/>
        <v>0.02324726439</v>
      </c>
      <c r="E18" s="16">
        <f>'IG Raw Data'!C18</f>
        <v>2150</v>
      </c>
      <c r="F18" s="19">
        <f t="shared" si="3"/>
        <v>1.646976744</v>
      </c>
      <c r="G18" s="19">
        <f t="shared" si="4"/>
        <v>38.28770382</v>
      </c>
      <c r="H18" s="19">
        <f>'IG Raw Data'!D18</f>
        <v>3541</v>
      </c>
      <c r="I18" s="17">
        <f t="shared" si="5"/>
        <v>0.02604651163</v>
      </c>
      <c r="J18" s="20">
        <f>'IG Raw Data'!E18</f>
        <v>56</v>
      </c>
      <c r="K18" s="22">
        <f t="shared" si="6"/>
        <v>165.125</v>
      </c>
      <c r="L18" s="22">
        <f>'IG Raw Data'!F18</f>
        <v>9247</v>
      </c>
    </row>
    <row r="19">
      <c r="A19" s="11">
        <f>'IG Raw Data'!A19</f>
        <v>45675</v>
      </c>
      <c r="B19" s="14">
        <f t="shared" si="1"/>
        <v>1</v>
      </c>
      <c r="C19" s="16">
        <f>'IG Raw Data'!B19</f>
        <v>56463</v>
      </c>
      <c r="D19" s="17">
        <f t="shared" si="2"/>
        <v>0.02764642332</v>
      </c>
      <c r="E19" s="16">
        <f>'IG Raw Data'!C19</f>
        <v>1561</v>
      </c>
      <c r="F19" s="19">
        <f t="shared" si="3"/>
        <v>1.242152466</v>
      </c>
      <c r="G19" s="19">
        <f t="shared" si="4"/>
        <v>34.34107292</v>
      </c>
      <c r="H19" s="19">
        <f>'IG Raw Data'!D19</f>
        <v>1939</v>
      </c>
      <c r="I19" s="17">
        <f t="shared" si="5"/>
        <v>0.01409352979</v>
      </c>
      <c r="J19" s="20">
        <f>'IG Raw Data'!E19</f>
        <v>22</v>
      </c>
      <c r="K19" s="22">
        <f t="shared" si="6"/>
        <v>151.2727273</v>
      </c>
      <c r="L19" s="22">
        <f>'IG Raw Data'!F19</f>
        <v>3328</v>
      </c>
    </row>
    <row r="20">
      <c r="A20" s="11">
        <f>'IG Raw Data'!A20</f>
        <v>45676</v>
      </c>
      <c r="B20" s="14">
        <f t="shared" si="1"/>
        <v>1</v>
      </c>
      <c r="C20" s="16">
        <f>'IG Raw Data'!B20</f>
        <v>70426</v>
      </c>
      <c r="D20" s="17">
        <f t="shared" si="2"/>
        <v>0.01101865788</v>
      </c>
      <c r="E20" s="16">
        <f>'IG Raw Data'!C20</f>
        <v>776</v>
      </c>
      <c r="F20" s="19">
        <f t="shared" si="3"/>
        <v>1.788659794</v>
      </c>
      <c r="G20" s="19">
        <f t="shared" si="4"/>
        <v>19.70863034</v>
      </c>
      <c r="H20" s="19">
        <f>'IG Raw Data'!D20</f>
        <v>1388</v>
      </c>
      <c r="I20" s="17">
        <f t="shared" si="5"/>
        <v>0.02448453608</v>
      </c>
      <c r="J20" s="20">
        <f>'IG Raw Data'!E20</f>
        <v>19</v>
      </c>
      <c r="K20" s="22">
        <f t="shared" si="6"/>
        <v>120.7894737</v>
      </c>
      <c r="L20" s="22">
        <f>'IG Raw Data'!F20</f>
        <v>2295</v>
      </c>
    </row>
    <row r="21">
      <c r="A21" s="11">
        <f>'IG Raw Data'!A21</f>
        <v>45677</v>
      </c>
      <c r="B21" s="14">
        <f t="shared" si="1"/>
        <v>1</v>
      </c>
      <c r="C21" s="16">
        <f>'IG Raw Data'!B21</f>
        <v>70773</v>
      </c>
      <c r="D21" s="17">
        <f t="shared" si="2"/>
        <v>0.01345145748</v>
      </c>
      <c r="E21" s="16">
        <f>'IG Raw Data'!C21</f>
        <v>952</v>
      </c>
      <c r="F21" s="19">
        <f t="shared" si="3"/>
        <v>1.31092437</v>
      </c>
      <c r="G21" s="19">
        <f t="shared" si="4"/>
        <v>17.63384341</v>
      </c>
      <c r="H21" s="19">
        <f>'IG Raw Data'!D21</f>
        <v>1248</v>
      </c>
      <c r="I21" s="17">
        <f t="shared" si="5"/>
        <v>0.01785714286</v>
      </c>
      <c r="J21" s="20">
        <f>'IG Raw Data'!E21</f>
        <v>17</v>
      </c>
      <c r="K21" s="22">
        <f t="shared" si="6"/>
        <v>201</v>
      </c>
      <c r="L21" s="22">
        <f>'IG Raw Data'!F21</f>
        <v>3417</v>
      </c>
    </row>
    <row r="22">
      <c r="A22" s="11">
        <f>'IG Raw Data'!A22</f>
        <v>45678</v>
      </c>
      <c r="B22" s="14">
        <f t="shared" si="1"/>
        <v>1</v>
      </c>
      <c r="C22" s="16">
        <f>'IG Raw Data'!B22</f>
        <v>62871</v>
      </c>
      <c r="D22" s="17">
        <f t="shared" si="2"/>
        <v>0.02312671979</v>
      </c>
      <c r="E22" s="16">
        <f>'IG Raw Data'!C22</f>
        <v>1454</v>
      </c>
      <c r="F22" s="19">
        <f t="shared" si="3"/>
        <v>1.522696011</v>
      </c>
      <c r="G22" s="19">
        <f t="shared" si="4"/>
        <v>35.21496397</v>
      </c>
      <c r="H22" s="19">
        <f>'IG Raw Data'!D22</f>
        <v>2214</v>
      </c>
      <c r="I22" s="17">
        <f t="shared" si="5"/>
        <v>0.01856946355</v>
      </c>
      <c r="J22" s="20">
        <f>'IG Raw Data'!E22</f>
        <v>27</v>
      </c>
      <c r="K22" s="22">
        <f t="shared" si="6"/>
        <v>164.4074074</v>
      </c>
      <c r="L22" s="22">
        <f>'IG Raw Data'!F22</f>
        <v>4439</v>
      </c>
    </row>
    <row r="23">
      <c r="A23" s="11">
        <f>'IG Raw Data'!A23</f>
        <v>45679</v>
      </c>
      <c r="B23" s="14">
        <f t="shared" si="1"/>
        <v>1</v>
      </c>
      <c r="C23" s="16">
        <f>'IG Raw Data'!B23</f>
        <v>37897</v>
      </c>
      <c r="D23" s="17">
        <f t="shared" si="2"/>
        <v>0.01271868486</v>
      </c>
      <c r="E23" s="16">
        <f>'IG Raw Data'!C23</f>
        <v>482</v>
      </c>
      <c r="F23" s="19">
        <f t="shared" si="3"/>
        <v>1.367219917</v>
      </c>
      <c r="G23" s="19">
        <f t="shared" si="4"/>
        <v>17.38923925</v>
      </c>
      <c r="H23" s="19">
        <f>'IG Raw Data'!D23</f>
        <v>659</v>
      </c>
      <c r="I23" s="17">
        <f t="shared" si="5"/>
        <v>0.02074688797</v>
      </c>
      <c r="J23" s="20">
        <f>'IG Raw Data'!E23</f>
        <v>10</v>
      </c>
      <c r="K23" s="22">
        <f t="shared" si="6"/>
        <v>115.6</v>
      </c>
      <c r="L23" s="22">
        <f>'IG Raw Data'!F23</f>
        <v>1156</v>
      </c>
    </row>
    <row r="24">
      <c r="A24" s="11">
        <f>'IG Raw Data'!A24</f>
        <v>45680</v>
      </c>
      <c r="B24" s="14">
        <f t="shared" si="1"/>
        <v>1</v>
      </c>
      <c r="C24" s="16">
        <f>'IG Raw Data'!B24</f>
        <v>12972</v>
      </c>
      <c r="D24" s="17">
        <f t="shared" si="2"/>
        <v>0.01202590194</v>
      </c>
      <c r="E24" s="16">
        <f>'IG Raw Data'!C24</f>
        <v>156</v>
      </c>
      <c r="F24" s="19">
        <f t="shared" si="3"/>
        <v>0.9358974359</v>
      </c>
      <c r="G24" s="19">
        <f t="shared" si="4"/>
        <v>11.25501079</v>
      </c>
      <c r="H24" s="19">
        <f>'IG Raw Data'!D24</f>
        <v>146</v>
      </c>
      <c r="I24" s="17">
        <f t="shared" si="5"/>
        <v>0.01923076923</v>
      </c>
      <c r="J24" s="20">
        <f>'IG Raw Data'!E24</f>
        <v>3</v>
      </c>
      <c r="K24" s="22">
        <f t="shared" si="6"/>
        <v>182</v>
      </c>
      <c r="L24" s="22">
        <f>'IG Raw Data'!F24</f>
        <v>546</v>
      </c>
    </row>
    <row r="25">
      <c r="A25" s="11">
        <f>'IG Raw Data'!A25</f>
        <v>45681</v>
      </c>
      <c r="B25" s="14">
        <f t="shared" si="1"/>
        <v>1</v>
      </c>
      <c r="C25" s="16">
        <f>'IG Raw Data'!B25</f>
        <v>71010</v>
      </c>
      <c r="D25" s="17">
        <f t="shared" si="2"/>
        <v>0.01640613998</v>
      </c>
      <c r="E25" s="16">
        <f>'IG Raw Data'!C25</f>
        <v>1165</v>
      </c>
      <c r="F25" s="19">
        <f t="shared" si="3"/>
        <v>1.570815451</v>
      </c>
      <c r="G25" s="19">
        <f t="shared" si="4"/>
        <v>25.77101817</v>
      </c>
      <c r="H25" s="19">
        <f>'IG Raw Data'!D25</f>
        <v>1830</v>
      </c>
      <c r="I25" s="17">
        <f t="shared" si="5"/>
        <v>0.02060085837</v>
      </c>
      <c r="J25" s="20">
        <f>'IG Raw Data'!E25</f>
        <v>24</v>
      </c>
      <c r="K25" s="22">
        <f t="shared" si="6"/>
        <v>211.0833333</v>
      </c>
      <c r="L25" s="22">
        <f>'IG Raw Data'!F25</f>
        <v>5066</v>
      </c>
    </row>
    <row r="26">
      <c r="A26" s="11">
        <f>'IG Raw Data'!A26</f>
        <v>45682</v>
      </c>
      <c r="B26" s="14">
        <f t="shared" si="1"/>
        <v>1</v>
      </c>
      <c r="C26" s="16">
        <f>'IG Raw Data'!B26</f>
        <v>43205</v>
      </c>
      <c r="D26" s="17">
        <f t="shared" si="2"/>
        <v>0.03057516491</v>
      </c>
      <c r="E26" s="16">
        <f>'IG Raw Data'!C26</f>
        <v>1321</v>
      </c>
      <c r="F26" s="19">
        <f t="shared" si="3"/>
        <v>1.642694928</v>
      </c>
      <c r="G26" s="19">
        <f t="shared" si="4"/>
        <v>50.22566833</v>
      </c>
      <c r="H26" s="19">
        <f>'IG Raw Data'!D26</f>
        <v>2170</v>
      </c>
      <c r="I26" s="17">
        <f t="shared" si="5"/>
        <v>0.02043906132</v>
      </c>
      <c r="J26" s="20">
        <f>'IG Raw Data'!E26</f>
        <v>27</v>
      </c>
      <c r="K26" s="22">
        <f t="shared" si="6"/>
        <v>182.7407407</v>
      </c>
      <c r="L26" s="22">
        <f>'IG Raw Data'!F26</f>
        <v>4934</v>
      </c>
    </row>
    <row r="27">
      <c r="A27" s="11">
        <f>'IG Raw Data'!A27</f>
        <v>45683</v>
      </c>
      <c r="B27" s="14">
        <f t="shared" si="1"/>
        <v>1</v>
      </c>
      <c r="C27" s="16">
        <f>'IG Raw Data'!B27</f>
        <v>27299</v>
      </c>
      <c r="D27" s="17">
        <f t="shared" si="2"/>
        <v>0.01289424521</v>
      </c>
      <c r="E27" s="16">
        <f>'IG Raw Data'!C27</f>
        <v>352</v>
      </c>
      <c r="F27" s="19">
        <f t="shared" si="3"/>
        <v>1.579545455</v>
      </c>
      <c r="G27" s="19">
        <f t="shared" si="4"/>
        <v>20.36704641</v>
      </c>
      <c r="H27" s="19">
        <f>'IG Raw Data'!D27</f>
        <v>556</v>
      </c>
      <c r="I27" s="17">
        <f t="shared" si="5"/>
        <v>0.01704545455</v>
      </c>
      <c r="J27" s="20">
        <f>'IG Raw Data'!E27</f>
        <v>6</v>
      </c>
      <c r="K27" s="22">
        <f t="shared" si="6"/>
        <v>176.5</v>
      </c>
      <c r="L27" s="22">
        <f>'IG Raw Data'!F27</f>
        <v>1059</v>
      </c>
    </row>
    <row r="28">
      <c r="A28" s="11">
        <f>'IG Raw Data'!A28</f>
        <v>45684</v>
      </c>
      <c r="B28" s="14">
        <f t="shared" si="1"/>
        <v>1</v>
      </c>
      <c r="C28" s="16">
        <f>'IG Raw Data'!B28</f>
        <v>25667</v>
      </c>
      <c r="D28" s="17">
        <f t="shared" si="2"/>
        <v>0.01472708147</v>
      </c>
      <c r="E28" s="16">
        <f>'IG Raw Data'!C28</f>
        <v>378</v>
      </c>
      <c r="F28" s="19">
        <f t="shared" si="3"/>
        <v>1.928571429</v>
      </c>
      <c r="G28" s="19">
        <f t="shared" si="4"/>
        <v>28.40222854</v>
      </c>
      <c r="H28" s="19">
        <f>'IG Raw Data'!D28</f>
        <v>729</v>
      </c>
      <c r="I28" s="17">
        <f t="shared" si="5"/>
        <v>0.01851851852</v>
      </c>
      <c r="J28" s="20">
        <f>'IG Raw Data'!E28</f>
        <v>7</v>
      </c>
      <c r="K28" s="22">
        <f t="shared" si="6"/>
        <v>185.5714286</v>
      </c>
      <c r="L28" s="22">
        <f>'IG Raw Data'!F28</f>
        <v>1299</v>
      </c>
    </row>
    <row r="29">
      <c r="A29" s="11">
        <f>'IG Raw Data'!A29</f>
        <v>45685</v>
      </c>
      <c r="B29" s="14">
        <f t="shared" si="1"/>
        <v>1</v>
      </c>
      <c r="C29" s="16">
        <f>'IG Raw Data'!B29</f>
        <v>69148</v>
      </c>
      <c r="D29" s="17">
        <f t="shared" si="2"/>
        <v>0.009819517557</v>
      </c>
      <c r="E29" s="16">
        <f>'IG Raw Data'!C29</f>
        <v>679</v>
      </c>
      <c r="F29" s="19">
        <f t="shared" si="3"/>
        <v>1.811487482</v>
      </c>
      <c r="G29" s="19">
        <f t="shared" si="4"/>
        <v>17.78793313</v>
      </c>
      <c r="H29" s="19">
        <f>'IG Raw Data'!D29</f>
        <v>1230</v>
      </c>
      <c r="I29" s="17">
        <f t="shared" si="5"/>
        <v>0.02503681885</v>
      </c>
      <c r="J29" s="20">
        <f>'IG Raw Data'!E29</f>
        <v>17</v>
      </c>
      <c r="K29" s="22">
        <f t="shared" si="6"/>
        <v>198.4117647</v>
      </c>
      <c r="L29" s="22">
        <f>'IG Raw Data'!F29</f>
        <v>3373</v>
      </c>
    </row>
    <row r="30">
      <c r="A30" s="11">
        <f>'IG Raw Data'!A30</f>
        <v>45686</v>
      </c>
      <c r="B30" s="14">
        <f t="shared" si="1"/>
        <v>1</v>
      </c>
      <c r="C30" s="16">
        <f>'IG Raw Data'!B30</f>
        <v>28266</v>
      </c>
      <c r="D30" s="17">
        <f t="shared" si="2"/>
        <v>0.02763036864</v>
      </c>
      <c r="E30" s="16">
        <f>'IG Raw Data'!C30</f>
        <v>781</v>
      </c>
      <c r="F30" s="19">
        <f t="shared" si="3"/>
        <v>1.035851472</v>
      </c>
      <c r="G30" s="19">
        <f t="shared" si="4"/>
        <v>28.62095804</v>
      </c>
      <c r="H30" s="19">
        <f>'IG Raw Data'!D30</f>
        <v>809</v>
      </c>
      <c r="I30" s="17">
        <f t="shared" si="5"/>
        <v>0.01536491677</v>
      </c>
      <c r="J30" s="20">
        <f>'IG Raw Data'!E30</f>
        <v>12</v>
      </c>
      <c r="K30" s="22">
        <f t="shared" si="6"/>
        <v>204.1666667</v>
      </c>
      <c r="L30" s="22">
        <f>'IG Raw Data'!F30</f>
        <v>2450</v>
      </c>
    </row>
    <row r="31">
      <c r="A31" s="11">
        <f>'IG Raw Data'!A31</f>
        <v>45687</v>
      </c>
      <c r="B31" s="14">
        <f t="shared" si="1"/>
        <v>1</v>
      </c>
      <c r="C31" s="16">
        <f>'IG Raw Data'!B31</f>
        <v>47724</v>
      </c>
      <c r="D31" s="17">
        <f t="shared" si="2"/>
        <v>0.02916771436</v>
      </c>
      <c r="E31" s="16">
        <f>'IG Raw Data'!C31</f>
        <v>1392</v>
      </c>
      <c r="F31" s="19">
        <f t="shared" si="3"/>
        <v>1.701149425</v>
      </c>
      <c r="G31" s="19">
        <f t="shared" si="4"/>
        <v>49.61864052</v>
      </c>
      <c r="H31" s="19">
        <f>'IG Raw Data'!D31</f>
        <v>2368</v>
      </c>
      <c r="I31" s="17">
        <f t="shared" si="5"/>
        <v>0.01867816092</v>
      </c>
      <c r="J31" s="20">
        <f>'IG Raw Data'!E31</f>
        <v>26</v>
      </c>
      <c r="K31" s="22">
        <f t="shared" si="6"/>
        <v>130.6153846</v>
      </c>
      <c r="L31" s="22">
        <f>'IG Raw Data'!F31</f>
        <v>3396</v>
      </c>
    </row>
    <row r="32">
      <c r="A32" s="11">
        <f>'IG Raw Data'!A32</f>
        <v>45688</v>
      </c>
      <c r="B32" s="14">
        <f t="shared" si="1"/>
        <v>1</v>
      </c>
      <c r="C32" s="16">
        <f>'IG Raw Data'!B32</f>
        <v>77744</v>
      </c>
      <c r="D32" s="17">
        <f t="shared" si="2"/>
        <v>0.01849660424</v>
      </c>
      <c r="E32" s="16">
        <f>'IG Raw Data'!C32</f>
        <v>1438</v>
      </c>
      <c r="F32" s="19">
        <f t="shared" si="3"/>
        <v>1.593184979</v>
      </c>
      <c r="G32" s="19">
        <f t="shared" si="4"/>
        <v>29.46851204</v>
      </c>
      <c r="H32" s="19">
        <f>'IG Raw Data'!D32</f>
        <v>2291</v>
      </c>
      <c r="I32" s="17">
        <f t="shared" si="5"/>
        <v>0.02225312935</v>
      </c>
      <c r="J32" s="20">
        <f>'IG Raw Data'!E32</f>
        <v>32</v>
      </c>
      <c r="K32" s="22">
        <f t="shared" si="6"/>
        <v>143.3125</v>
      </c>
      <c r="L32" s="22">
        <f>'IG Raw Data'!F32</f>
        <v>4586</v>
      </c>
    </row>
    <row r="33">
      <c r="A33" s="11">
        <f>'IG Raw Data'!A33</f>
        <v>45689</v>
      </c>
      <c r="B33" s="14">
        <f t="shared" si="1"/>
        <v>2</v>
      </c>
      <c r="C33" s="16">
        <f>'IG Raw Data'!B33</f>
        <v>99439</v>
      </c>
      <c r="D33" s="17">
        <f t="shared" si="2"/>
        <v>0.02608634439</v>
      </c>
      <c r="E33" s="16">
        <f>'IG Raw Data'!C33</f>
        <v>2594</v>
      </c>
      <c r="F33" s="19">
        <f t="shared" si="3"/>
        <v>1.099074788</v>
      </c>
      <c r="G33" s="19">
        <f t="shared" si="4"/>
        <v>28.67084343</v>
      </c>
      <c r="H33" s="19">
        <f>'IG Raw Data'!D33</f>
        <v>2851</v>
      </c>
      <c r="I33" s="17">
        <f t="shared" si="5"/>
        <v>0.02120277564</v>
      </c>
      <c r="J33" s="20">
        <f>'IG Raw Data'!E33</f>
        <v>55</v>
      </c>
      <c r="K33" s="22">
        <f t="shared" si="6"/>
        <v>133.3818182</v>
      </c>
      <c r="L33" s="22">
        <f>'IG Raw Data'!F33</f>
        <v>7336</v>
      </c>
    </row>
    <row r="34">
      <c r="A34" s="11">
        <f>'IG Raw Data'!A34</f>
        <v>45690</v>
      </c>
      <c r="B34" s="14">
        <f t="shared" si="1"/>
        <v>2</v>
      </c>
      <c r="C34" s="16">
        <f>'IG Raw Data'!B34</f>
        <v>29408</v>
      </c>
      <c r="D34" s="17">
        <f t="shared" si="2"/>
        <v>0.01404379761</v>
      </c>
      <c r="E34" s="16">
        <f>'IG Raw Data'!C34</f>
        <v>413</v>
      </c>
      <c r="F34" s="19">
        <f t="shared" si="3"/>
        <v>1.668280872</v>
      </c>
      <c r="G34" s="19">
        <f t="shared" si="4"/>
        <v>23.42899891</v>
      </c>
      <c r="H34" s="19">
        <f>'IG Raw Data'!D34</f>
        <v>689</v>
      </c>
      <c r="I34" s="17">
        <f t="shared" si="5"/>
        <v>0.01937046005</v>
      </c>
      <c r="J34" s="20">
        <f>'IG Raw Data'!E34</f>
        <v>8</v>
      </c>
      <c r="K34" s="22">
        <f t="shared" si="6"/>
        <v>176.25</v>
      </c>
      <c r="L34" s="22">
        <f>'IG Raw Data'!F34</f>
        <v>1410</v>
      </c>
    </row>
    <row r="35">
      <c r="A35" s="11">
        <f>'IG Raw Data'!A35</f>
        <v>45691</v>
      </c>
      <c r="B35" s="14">
        <f t="shared" si="1"/>
        <v>2</v>
      </c>
      <c r="C35" s="16">
        <f>'IG Raw Data'!B35</f>
        <v>27715</v>
      </c>
      <c r="D35" s="17">
        <f t="shared" si="2"/>
        <v>0.02406639004</v>
      </c>
      <c r="E35" s="16">
        <f>'IG Raw Data'!C35</f>
        <v>667</v>
      </c>
      <c r="F35" s="19">
        <f t="shared" si="3"/>
        <v>1.03898051</v>
      </c>
      <c r="G35" s="19">
        <f t="shared" si="4"/>
        <v>25.00451019</v>
      </c>
      <c r="H35" s="19">
        <f>'IG Raw Data'!D35</f>
        <v>693</v>
      </c>
      <c r="I35" s="17">
        <f t="shared" si="5"/>
        <v>0.02098950525</v>
      </c>
      <c r="J35" s="20">
        <f>'IG Raw Data'!E35</f>
        <v>14</v>
      </c>
      <c r="K35" s="22">
        <f t="shared" si="6"/>
        <v>164.7142857</v>
      </c>
      <c r="L35" s="22">
        <f>'IG Raw Data'!F35</f>
        <v>2306</v>
      </c>
    </row>
    <row r="36">
      <c r="A36" s="11">
        <f>'IG Raw Data'!A36</f>
        <v>45692</v>
      </c>
      <c r="B36" s="14">
        <f t="shared" si="1"/>
        <v>2</v>
      </c>
      <c r="C36" s="16">
        <f>'IG Raw Data'!B36</f>
        <v>15515</v>
      </c>
      <c r="D36" s="17">
        <f t="shared" si="2"/>
        <v>0.02597486304</v>
      </c>
      <c r="E36" s="16">
        <f>'IG Raw Data'!C36</f>
        <v>403</v>
      </c>
      <c r="F36" s="19">
        <f t="shared" si="3"/>
        <v>1.200992556</v>
      </c>
      <c r="G36" s="19">
        <f t="shared" si="4"/>
        <v>31.19561714</v>
      </c>
      <c r="H36" s="19">
        <f>'IG Raw Data'!D36</f>
        <v>484</v>
      </c>
      <c r="I36" s="17">
        <f t="shared" si="5"/>
        <v>0.01736972705</v>
      </c>
      <c r="J36" s="20">
        <f>'IG Raw Data'!E36</f>
        <v>7</v>
      </c>
      <c r="K36" s="22">
        <f t="shared" si="6"/>
        <v>149.8571429</v>
      </c>
      <c r="L36" s="22">
        <f>'IG Raw Data'!F36</f>
        <v>1049</v>
      </c>
    </row>
    <row r="37">
      <c r="A37" s="11">
        <f>'IG Raw Data'!A37</f>
        <v>45693</v>
      </c>
      <c r="B37" s="14">
        <f t="shared" si="1"/>
        <v>2</v>
      </c>
      <c r="C37" s="16">
        <f>'IG Raw Data'!B37</f>
        <v>70280</v>
      </c>
      <c r="D37" s="17">
        <f t="shared" si="2"/>
        <v>0.02955321571</v>
      </c>
      <c r="E37" s="16">
        <f>'IG Raw Data'!C37</f>
        <v>2077</v>
      </c>
      <c r="F37" s="19">
        <f t="shared" si="3"/>
        <v>1.90900337</v>
      </c>
      <c r="G37" s="19">
        <f t="shared" si="4"/>
        <v>56.41718839</v>
      </c>
      <c r="H37" s="19">
        <f>'IG Raw Data'!D37</f>
        <v>3965</v>
      </c>
      <c r="I37" s="17">
        <f t="shared" si="5"/>
        <v>0.01636976408</v>
      </c>
      <c r="J37" s="20">
        <f>'IG Raw Data'!E37</f>
        <v>34</v>
      </c>
      <c r="K37" s="22">
        <f t="shared" si="6"/>
        <v>207.4705882</v>
      </c>
      <c r="L37" s="22">
        <f>'IG Raw Data'!F37</f>
        <v>7054</v>
      </c>
    </row>
    <row r="38">
      <c r="A38" s="11">
        <f>'IG Raw Data'!A38</f>
        <v>45694</v>
      </c>
      <c r="B38" s="14">
        <f t="shared" si="1"/>
        <v>2</v>
      </c>
      <c r="C38" s="16">
        <f>'IG Raw Data'!B38</f>
        <v>81872</v>
      </c>
      <c r="D38" s="17">
        <f t="shared" si="2"/>
        <v>0.01137140903</v>
      </c>
      <c r="E38" s="16">
        <f>'IG Raw Data'!C38</f>
        <v>931</v>
      </c>
      <c r="F38" s="19">
        <f t="shared" si="3"/>
        <v>1.628356606</v>
      </c>
      <c r="G38" s="19">
        <f t="shared" si="4"/>
        <v>18.51670901</v>
      </c>
      <c r="H38" s="19">
        <f>'IG Raw Data'!D38</f>
        <v>1516</v>
      </c>
      <c r="I38" s="17">
        <f t="shared" si="5"/>
        <v>0.02040816327</v>
      </c>
      <c r="J38" s="20">
        <f>'IG Raw Data'!E38</f>
        <v>19</v>
      </c>
      <c r="K38" s="22">
        <f t="shared" si="6"/>
        <v>123.1052632</v>
      </c>
      <c r="L38" s="22">
        <f>'IG Raw Data'!F38</f>
        <v>2339</v>
      </c>
    </row>
    <row r="39">
      <c r="A39" s="11">
        <f>'IG Raw Data'!A39</f>
        <v>45695</v>
      </c>
      <c r="B39" s="14">
        <f t="shared" si="1"/>
        <v>2</v>
      </c>
      <c r="C39" s="16">
        <f>'IG Raw Data'!B39</f>
        <v>81286</v>
      </c>
      <c r="D39" s="17">
        <f t="shared" si="2"/>
        <v>0.02707723347</v>
      </c>
      <c r="E39" s="16">
        <f>'IG Raw Data'!C39</f>
        <v>2201</v>
      </c>
      <c r="F39" s="19">
        <f t="shared" si="3"/>
        <v>1.587005906</v>
      </c>
      <c r="G39" s="19">
        <f t="shared" si="4"/>
        <v>42.97172945</v>
      </c>
      <c r="H39" s="19">
        <f>'IG Raw Data'!D39</f>
        <v>3493</v>
      </c>
      <c r="I39" s="17">
        <f t="shared" si="5"/>
        <v>0.01681054066</v>
      </c>
      <c r="J39" s="20">
        <f>'IG Raw Data'!E39</f>
        <v>37</v>
      </c>
      <c r="K39" s="22">
        <f t="shared" si="6"/>
        <v>176.8378378</v>
      </c>
      <c r="L39" s="22">
        <f>'IG Raw Data'!F39</f>
        <v>6543</v>
      </c>
    </row>
    <row r="40">
      <c r="A40" s="11">
        <f>'IG Raw Data'!A40</f>
        <v>45696</v>
      </c>
      <c r="B40" s="14">
        <f t="shared" si="1"/>
        <v>2</v>
      </c>
      <c r="C40" s="16">
        <f>'IG Raw Data'!B40</f>
        <v>77915</v>
      </c>
      <c r="D40" s="17">
        <f t="shared" si="2"/>
        <v>0.01174356671</v>
      </c>
      <c r="E40" s="16">
        <f>'IG Raw Data'!C40</f>
        <v>915</v>
      </c>
      <c r="F40" s="19">
        <f t="shared" si="3"/>
        <v>1.009836066</v>
      </c>
      <c r="G40" s="19">
        <f t="shared" si="4"/>
        <v>11.8590772</v>
      </c>
      <c r="H40" s="19">
        <f>'IG Raw Data'!D40</f>
        <v>924</v>
      </c>
      <c r="I40" s="17">
        <f t="shared" si="5"/>
        <v>0.01857923497</v>
      </c>
      <c r="J40" s="20">
        <f>'IG Raw Data'!E40</f>
        <v>17</v>
      </c>
      <c r="K40" s="22">
        <f t="shared" si="6"/>
        <v>184.7647059</v>
      </c>
      <c r="L40" s="22">
        <f>'IG Raw Data'!F40</f>
        <v>3141</v>
      </c>
    </row>
    <row r="41">
      <c r="A41" s="11">
        <f>'IG Raw Data'!A41</f>
        <v>45697</v>
      </c>
      <c r="B41" s="14">
        <f t="shared" si="1"/>
        <v>2</v>
      </c>
      <c r="C41" s="16">
        <f>'IG Raw Data'!B41</f>
        <v>60396</v>
      </c>
      <c r="D41" s="17">
        <f t="shared" si="2"/>
        <v>0.02809788728</v>
      </c>
      <c r="E41" s="16">
        <f>'IG Raw Data'!C41</f>
        <v>1697</v>
      </c>
      <c r="F41" s="19">
        <f t="shared" si="3"/>
        <v>1.934590454</v>
      </c>
      <c r="G41" s="19">
        <f t="shared" si="4"/>
        <v>54.3579045</v>
      </c>
      <c r="H41" s="19">
        <f>'IG Raw Data'!D41</f>
        <v>3283</v>
      </c>
      <c r="I41" s="17">
        <f t="shared" si="5"/>
        <v>0.01178550383</v>
      </c>
      <c r="J41" s="20">
        <f>'IG Raw Data'!E41</f>
        <v>20</v>
      </c>
      <c r="K41" s="22">
        <f t="shared" si="6"/>
        <v>131.35</v>
      </c>
      <c r="L41" s="22">
        <f>'IG Raw Data'!F41</f>
        <v>2627</v>
      </c>
    </row>
    <row r="42">
      <c r="A42" s="11">
        <f>'IG Raw Data'!A42</f>
        <v>45698</v>
      </c>
      <c r="B42" s="14">
        <f t="shared" si="1"/>
        <v>2</v>
      </c>
      <c r="C42" s="16">
        <f>'IG Raw Data'!B42</f>
        <v>43446</v>
      </c>
      <c r="D42" s="17">
        <f t="shared" si="2"/>
        <v>0.02635455508</v>
      </c>
      <c r="E42" s="16">
        <f>'IG Raw Data'!C42</f>
        <v>1145</v>
      </c>
      <c r="F42" s="19">
        <f t="shared" si="3"/>
        <v>1.140611354</v>
      </c>
      <c r="G42" s="19">
        <f t="shared" si="4"/>
        <v>30.06030475</v>
      </c>
      <c r="H42" s="19">
        <f>'IG Raw Data'!D42</f>
        <v>1306</v>
      </c>
      <c r="I42" s="17">
        <f t="shared" si="5"/>
        <v>0.02620087336</v>
      </c>
      <c r="J42" s="20">
        <f>'IG Raw Data'!E42</f>
        <v>30</v>
      </c>
      <c r="K42" s="22">
        <f t="shared" si="6"/>
        <v>199.2333333</v>
      </c>
      <c r="L42" s="22">
        <f>'IG Raw Data'!F42</f>
        <v>5977</v>
      </c>
    </row>
    <row r="43">
      <c r="A43" s="11">
        <f>'IG Raw Data'!A43</f>
        <v>45699</v>
      </c>
      <c r="B43" s="14">
        <f t="shared" si="1"/>
        <v>2</v>
      </c>
      <c r="C43" s="16">
        <f>'IG Raw Data'!B43</f>
        <v>70724</v>
      </c>
      <c r="D43" s="17">
        <f t="shared" si="2"/>
        <v>0.02693569368</v>
      </c>
      <c r="E43" s="16">
        <f>'IG Raw Data'!C43</f>
        <v>1905</v>
      </c>
      <c r="F43" s="19">
        <f t="shared" si="3"/>
        <v>1.167979003</v>
      </c>
      <c r="G43" s="19">
        <f t="shared" si="4"/>
        <v>31.46032464</v>
      </c>
      <c r="H43" s="19">
        <f>'IG Raw Data'!D43</f>
        <v>2225</v>
      </c>
      <c r="I43" s="17">
        <f t="shared" si="5"/>
        <v>0.01312335958</v>
      </c>
      <c r="J43" s="20">
        <f>'IG Raw Data'!E43</f>
        <v>25</v>
      </c>
      <c r="K43" s="22">
        <f t="shared" si="6"/>
        <v>213.16</v>
      </c>
      <c r="L43" s="22">
        <f>'IG Raw Data'!F43</f>
        <v>5329</v>
      </c>
    </row>
    <row r="44">
      <c r="A44" s="11">
        <f>'IG Raw Data'!A44</f>
        <v>45700</v>
      </c>
      <c r="B44" s="14">
        <f t="shared" si="1"/>
        <v>2</v>
      </c>
      <c r="C44" s="16">
        <f>'IG Raw Data'!B44</f>
        <v>85306</v>
      </c>
      <c r="D44" s="17">
        <f t="shared" si="2"/>
        <v>0.01958830563</v>
      </c>
      <c r="E44" s="16">
        <f>'IG Raw Data'!C44</f>
        <v>1671</v>
      </c>
      <c r="F44" s="19">
        <f t="shared" si="3"/>
        <v>0.9838420108</v>
      </c>
      <c r="G44" s="19">
        <f t="shared" si="4"/>
        <v>19.271798</v>
      </c>
      <c r="H44" s="19">
        <f>'IG Raw Data'!D44</f>
        <v>1644</v>
      </c>
      <c r="I44" s="17">
        <f t="shared" si="5"/>
        <v>0.01555954518</v>
      </c>
      <c r="J44" s="20">
        <f>'IG Raw Data'!E44</f>
        <v>26</v>
      </c>
      <c r="K44" s="22">
        <f t="shared" si="6"/>
        <v>182.1538462</v>
      </c>
      <c r="L44" s="22">
        <f>'IG Raw Data'!F44</f>
        <v>4736</v>
      </c>
    </row>
    <row r="45">
      <c r="A45" s="11">
        <f>'IG Raw Data'!A45</f>
        <v>45701</v>
      </c>
      <c r="B45" s="14">
        <f t="shared" si="1"/>
        <v>2</v>
      </c>
      <c r="C45" s="16">
        <f>'IG Raw Data'!B45</f>
        <v>23751</v>
      </c>
      <c r="D45" s="17">
        <f t="shared" si="2"/>
        <v>0.02248326386</v>
      </c>
      <c r="E45" s="16">
        <f>'IG Raw Data'!C45</f>
        <v>534</v>
      </c>
      <c r="F45" s="19">
        <f t="shared" si="3"/>
        <v>1.393258427</v>
      </c>
      <c r="G45" s="19">
        <f t="shared" si="4"/>
        <v>31.32499684</v>
      </c>
      <c r="H45" s="19">
        <f>'IG Raw Data'!D45</f>
        <v>744</v>
      </c>
      <c r="I45" s="17">
        <f t="shared" si="5"/>
        <v>0.02059925094</v>
      </c>
      <c r="J45" s="20">
        <f>'IG Raw Data'!E45</f>
        <v>11</v>
      </c>
      <c r="K45" s="22">
        <f t="shared" si="6"/>
        <v>165.3636364</v>
      </c>
      <c r="L45" s="22">
        <f>'IG Raw Data'!F45</f>
        <v>1819</v>
      </c>
    </row>
    <row r="46">
      <c r="A46" s="11">
        <f>'IG Raw Data'!A46</f>
        <v>45702</v>
      </c>
      <c r="B46" s="14">
        <f t="shared" si="1"/>
        <v>2</v>
      </c>
      <c r="C46" s="16">
        <f>'IG Raw Data'!B46</f>
        <v>82792</v>
      </c>
      <c r="D46" s="17">
        <f t="shared" si="2"/>
        <v>0.02352884337</v>
      </c>
      <c r="E46" s="16">
        <f>'IG Raw Data'!C46</f>
        <v>1948</v>
      </c>
      <c r="F46" s="19">
        <f t="shared" si="3"/>
        <v>1.30698152</v>
      </c>
      <c r="G46" s="19">
        <f t="shared" si="4"/>
        <v>30.75176346</v>
      </c>
      <c r="H46" s="19">
        <f>'IG Raw Data'!D46</f>
        <v>2546</v>
      </c>
      <c r="I46" s="17">
        <f t="shared" si="5"/>
        <v>0.01899383984</v>
      </c>
      <c r="J46" s="20">
        <f>'IG Raw Data'!E46</f>
        <v>37</v>
      </c>
      <c r="K46" s="22">
        <f t="shared" si="6"/>
        <v>182.6486486</v>
      </c>
      <c r="L46" s="22">
        <f>'IG Raw Data'!F46</f>
        <v>6758</v>
      </c>
    </row>
    <row r="47">
      <c r="A47" s="11">
        <f>'IG Raw Data'!A47</f>
        <v>45703</v>
      </c>
      <c r="B47" s="14">
        <f t="shared" si="1"/>
        <v>2</v>
      </c>
      <c r="C47" s="16">
        <f>'IG Raw Data'!B47</f>
        <v>68924</v>
      </c>
      <c r="D47" s="17">
        <f t="shared" si="2"/>
        <v>0.0276971737</v>
      </c>
      <c r="E47" s="16">
        <f>'IG Raw Data'!C47</f>
        <v>1909</v>
      </c>
      <c r="F47" s="19">
        <f t="shared" si="3"/>
        <v>1.764798324</v>
      </c>
      <c r="G47" s="19">
        <f t="shared" si="4"/>
        <v>48.87992572</v>
      </c>
      <c r="H47" s="19">
        <f>'IG Raw Data'!D47</f>
        <v>3369</v>
      </c>
      <c r="I47" s="17">
        <f t="shared" si="5"/>
        <v>0.01204819277</v>
      </c>
      <c r="J47" s="20">
        <f>'IG Raw Data'!E47</f>
        <v>23</v>
      </c>
      <c r="K47" s="22">
        <f t="shared" si="6"/>
        <v>199.3913043</v>
      </c>
      <c r="L47" s="22">
        <f>'IG Raw Data'!F47</f>
        <v>4586</v>
      </c>
    </row>
    <row r="48">
      <c r="A48" s="11">
        <f>'IG Raw Data'!A48</f>
        <v>45704</v>
      </c>
      <c r="B48" s="14">
        <f t="shared" si="1"/>
        <v>2</v>
      </c>
      <c r="C48" s="16">
        <f>'IG Raw Data'!B48</f>
        <v>13626</v>
      </c>
      <c r="D48" s="17">
        <f t="shared" si="2"/>
        <v>0.01438426538</v>
      </c>
      <c r="E48" s="16">
        <f>'IG Raw Data'!C48</f>
        <v>196</v>
      </c>
      <c r="F48" s="19">
        <f t="shared" si="3"/>
        <v>1.897959184</v>
      </c>
      <c r="G48" s="19">
        <f t="shared" si="4"/>
        <v>27.30074857</v>
      </c>
      <c r="H48" s="19">
        <f>'IG Raw Data'!D48</f>
        <v>372</v>
      </c>
      <c r="I48" s="17">
        <f t="shared" si="5"/>
        <v>0.02040816327</v>
      </c>
      <c r="J48" s="20">
        <f>'IG Raw Data'!E48</f>
        <v>4</v>
      </c>
      <c r="K48" s="22">
        <f t="shared" si="6"/>
        <v>194</v>
      </c>
      <c r="L48" s="22">
        <f>'IG Raw Data'!F48</f>
        <v>776</v>
      </c>
    </row>
    <row r="49">
      <c r="A49" s="11">
        <f>'IG Raw Data'!A49</f>
        <v>45705</v>
      </c>
      <c r="B49" s="14">
        <f t="shared" si="1"/>
        <v>2</v>
      </c>
      <c r="C49" s="16">
        <f>'IG Raw Data'!B49</f>
        <v>10725</v>
      </c>
      <c r="D49" s="17">
        <f t="shared" si="2"/>
        <v>0.01631701632</v>
      </c>
      <c r="E49" s="16">
        <f>'IG Raw Data'!C49</f>
        <v>175</v>
      </c>
      <c r="F49" s="19">
        <f t="shared" si="3"/>
        <v>2.051428571</v>
      </c>
      <c r="G49" s="19">
        <f t="shared" si="4"/>
        <v>33.47319347</v>
      </c>
      <c r="H49" s="19">
        <f>'IG Raw Data'!D49</f>
        <v>359</v>
      </c>
      <c r="I49" s="17">
        <f t="shared" si="5"/>
        <v>0.01714285714</v>
      </c>
      <c r="J49" s="20">
        <f>'IG Raw Data'!E49</f>
        <v>3</v>
      </c>
      <c r="K49" s="22">
        <f t="shared" si="6"/>
        <v>249.6666667</v>
      </c>
      <c r="L49" s="22">
        <f>'IG Raw Data'!F49</f>
        <v>749</v>
      </c>
    </row>
    <row r="50">
      <c r="A50" s="11">
        <f>'IG Raw Data'!A50</f>
        <v>45706</v>
      </c>
      <c r="B50" s="14">
        <f t="shared" si="1"/>
        <v>2</v>
      </c>
      <c r="C50" s="16">
        <f>'IG Raw Data'!B50</f>
        <v>50562</v>
      </c>
      <c r="D50" s="17">
        <f t="shared" si="2"/>
        <v>0.01352794589</v>
      </c>
      <c r="E50" s="16">
        <f>'IG Raw Data'!C50</f>
        <v>684</v>
      </c>
      <c r="F50" s="19">
        <f t="shared" si="3"/>
        <v>2.125730994</v>
      </c>
      <c r="G50" s="19">
        <f t="shared" si="4"/>
        <v>28.75677386</v>
      </c>
      <c r="H50" s="19">
        <f>'IG Raw Data'!D50</f>
        <v>1454</v>
      </c>
      <c r="I50" s="17">
        <f t="shared" si="5"/>
        <v>0.01315789474</v>
      </c>
      <c r="J50" s="20">
        <f>'IG Raw Data'!E50</f>
        <v>9</v>
      </c>
      <c r="K50" s="22">
        <f t="shared" si="6"/>
        <v>191</v>
      </c>
      <c r="L50" s="22">
        <f>'IG Raw Data'!F50</f>
        <v>1719</v>
      </c>
    </row>
    <row r="51">
      <c r="A51" s="11">
        <f>'IG Raw Data'!A51</f>
        <v>45707</v>
      </c>
      <c r="B51" s="14">
        <f t="shared" si="1"/>
        <v>2</v>
      </c>
      <c r="C51" s="16">
        <f>'IG Raw Data'!B51</f>
        <v>27479</v>
      </c>
      <c r="D51" s="17">
        <f t="shared" si="2"/>
        <v>0.02318133848</v>
      </c>
      <c r="E51" s="16">
        <f>'IG Raw Data'!C51</f>
        <v>637</v>
      </c>
      <c r="F51" s="19">
        <f t="shared" si="3"/>
        <v>1.957613815</v>
      </c>
      <c r="G51" s="19">
        <f t="shared" si="4"/>
        <v>45.38010845</v>
      </c>
      <c r="H51" s="19">
        <f>'IG Raw Data'!D51</f>
        <v>1247</v>
      </c>
      <c r="I51" s="17">
        <f t="shared" si="5"/>
        <v>0.01883830455</v>
      </c>
      <c r="J51" s="20">
        <f>'IG Raw Data'!E51</f>
        <v>12</v>
      </c>
      <c r="K51" s="22">
        <f t="shared" si="6"/>
        <v>121</v>
      </c>
      <c r="L51" s="22">
        <f>'IG Raw Data'!F51</f>
        <v>1452</v>
      </c>
    </row>
    <row r="52">
      <c r="A52" s="11">
        <f>'IG Raw Data'!A52</f>
        <v>45708</v>
      </c>
      <c r="B52" s="14">
        <f t="shared" si="1"/>
        <v>2</v>
      </c>
      <c r="C52" s="16">
        <f>'IG Raw Data'!B52</f>
        <v>75592</v>
      </c>
      <c r="D52" s="17">
        <f t="shared" si="2"/>
        <v>0.01564980421</v>
      </c>
      <c r="E52" s="16">
        <f>'IG Raw Data'!C52</f>
        <v>1183</v>
      </c>
      <c r="F52" s="19">
        <f t="shared" si="3"/>
        <v>1.86728656</v>
      </c>
      <c r="G52" s="19">
        <f t="shared" si="4"/>
        <v>29.22266907</v>
      </c>
      <c r="H52" s="19">
        <f>'IG Raw Data'!D52</f>
        <v>2209</v>
      </c>
      <c r="I52" s="17">
        <f t="shared" si="5"/>
        <v>0.02366863905</v>
      </c>
      <c r="J52" s="20">
        <f>'IG Raw Data'!E52</f>
        <v>28</v>
      </c>
      <c r="K52" s="22">
        <f t="shared" si="6"/>
        <v>164.0714286</v>
      </c>
      <c r="L52" s="22">
        <f>'IG Raw Data'!F52</f>
        <v>4594</v>
      </c>
    </row>
    <row r="53">
      <c r="A53" s="11">
        <f>'IG Raw Data'!A53</f>
        <v>45709</v>
      </c>
      <c r="B53" s="14">
        <f t="shared" si="1"/>
        <v>2</v>
      </c>
      <c r="C53" s="16">
        <f>'IG Raw Data'!B53</f>
        <v>91898</v>
      </c>
      <c r="D53" s="17">
        <f t="shared" si="2"/>
        <v>0.01059870726</v>
      </c>
      <c r="E53" s="16">
        <f>'IG Raw Data'!C53</f>
        <v>974</v>
      </c>
      <c r="F53" s="19">
        <f t="shared" si="3"/>
        <v>1.753593429</v>
      </c>
      <c r="G53" s="19">
        <f t="shared" si="4"/>
        <v>18.58582341</v>
      </c>
      <c r="H53" s="19">
        <f>'IG Raw Data'!D53</f>
        <v>1708</v>
      </c>
      <c r="I53" s="17">
        <f t="shared" si="5"/>
        <v>0.01334702259</v>
      </c>
      <c r="J53" s="20">
        <f>'IG Raw Data'!E53</f>
        <v>13</v>
      </c>
      <c r="K53" s="22">
        <f t="shared" si="6"/>
        <v>118.5384615</v>
      </c>
      <c r="L53" s="22">
        <f>'IG Raw Data'!F53</f>
        <v>1541</v>
      </c>
    </row>
    <row r="54">
      <c r="A54" s="11">
        <f>'IG Raw Data'!A54</f>
        <v>45710</v>
      </c>
      <c r="B54" s="14">
        <f t="shared" si="1"/>
        <v>2</v>
      </c>
      <c r="C54" s="16">
        <f>'IG Raw Data'!B54</f>
        <v>61770</v>
      </c>
      <c r="D54" s="17">
        <f t="shared" si="2"/>
        <v>0.01342075441</v>
      </c>
      <c r="E54" s="16">
        <f>'IG Raw Data'!C54</f>
        <v>829</v>
      </c>
      <c r="F54" s="19">
        <f t="shared" si="3"/>
        <v>1.985524729</v>
      </c>
      <c r="G54" s="19">
        <f t="shared" si="4"/>
        <v>26.64723976</v>
      </c>
      <c r="H54" s="19">
        <f>'IG Raw Data'!D54</f>
        <v>1646</v>
      </c>
      <c r="I54" s="17">
        <f t="shared" si="5"/>
        <v>0.01809408926</v>
      </c>
      <c r="J54" s="20">
        <f>'IG Raw Data'!E54</f>
        <v>15</v>
      </c>
      <c r="K54" s="22">
        <f t="shared" si="6"/>
        <v>152.3333333</v>
      </c>
      <c r="L54" s="22">
        <f>'IG Raw Data'!F54</f>
        <v>2285</v>
      </c>
    </row>
    <row r="55">
      <c r="A55" s="11">
        <f>'IG Raw Data'!A55</f>
        <v>45711</v>
      </c>
      <c r="B55" s="14">
        <f t="shared" si="1"/>
        <v>2</v>
      </c>
      <c r="C55" s="16">
        <f>'IG Raw Data'!B55</f>
        <v>82545</v>
      </c>
      <c r="D55" s="17">
        <f t="shared" si="2"/>
        <v>0.01144830093</v>
      </c>
      <c r="E55" s="16">
        <f>'IG Raw Data'!C55</f>
        <v>945</v>
      </c>
      <c r="F55" s="19">
        <f t="shared" si="3"/>
        <v>1.720634921</v>
      </c>
      <c r="G55" s="19">
        <f t="shared" si="4"/>
        <v>19.69834636</v>
      </c>
      <c r="H55" s="19">
        <f>'IG Raw Data'!D55</f>
        <v>1626</v>
      </c>
      <c r="I55" s="17">
        <f t="shared" si="5"/>
        <v>0.02328042328</v>
      </c>
      <c r="J55" s="20">
        <f>'IG Raw Data'!E55</f>
        <v>22</v>
      </c>
      <c r="K55" s="22">
        <f t="shared" si="6"/>
        <v>205</v>
      </c>
      <c r="L55" s="22">
        <f>'IG Raw Data'!F55</f>
        <v>4510</v>
      </c>
    </row>
    <row r="56">
      <c r="A56" s="11">
        <f>'IG Raw Data'!A56</f>
        <v>45712</v>
      </c>
      <c r="B56" s="14">
        <f t="shared" si="1"/>
        <v>2</v>
      </c>
      <c r="C56" s="16">
        <f>'IG Raw Data'!B56</f>
        <v>16999</v>
      </c>
      <c r="D56" s="17">
        <f t="shared" si="2"/>
        <v>0.0265897994</v>
      </c>
      <c r="E56" s="16">
        <f>'IG Raw Data'!C56</f>
        <v>452</v>
      </c>
      <c r="F56" s="19">
        <f t="shared" si="3"/>
        <v>1.274336283</v>
      </c>
      <c r="G56" s="19">
        <f t="shared" si="4"/>
        <v>33.88434614</v>
      </c>
      <c r="H56" s="19">
        <f>'IG Raw Data'!D56</f>
        <v>576</v>
      </c>
      <c r="I56" s="17">
        <f t="shared" si="5"/>
        <v>0.01327433628</v>
      </c>
      <c r="J56" s="20">
        <f>'IG Raw Data'!E56</f>
        <v>6</v>
      </c>
      <c r="K56" s="22">
        <f t="shared" si="6"/>
        <v>118.5</v>
      </c>
      <c r="L56" s="22">
        <f>'IG Raw Data'!F56</f>
        <v>711</v>
      </c>
    </row>
    <row r="57">
      <c r="A57" s="11">
        <f>'IG Raw Data'!A57</f>
        <v>45713</v>
      </c>
      <c r="B57" s="14">
        <f t="shared" si="1"/>
        <v>2</v>
      </c>
      <c r="C57" s="16">
        <f>'IG Raw Data'!B57</f>
        <v>61190</v>
      </c>
      <c r="D57" s="17">
        <f t="shared" si="2"/>
        <v>0.01327014218</v>
      </c>
      <c r="E57" s="16">
        <f>'IG Raw Data'!C57</f>
        <v>812</v>
      </c>
      <c r="F57" s="19">
        <f t="shared" si="3"/>
        <v>1.248768473</v>
      </c>
      <c r="G57" s="19">
        <f t="shared" si="4"/>
        <v>16.57133519</v>
      </c>
      <c r="H57" s="19">
        <f>'IG Raw Data'!D57</f>
        <v>1014</v>
      </c>
      <c r="I57" s="17">
        <f t="shared" si="5"/>
        <v>0.0184729064</v>
      </c>
      <c r="J57" s="20">
        <f>'IG Raw Data'!E57</f>
        <v>15</v>
      </c>
      <c r="K57" s="22">
        <f t="shared" si="6"/>
        <v>122.4</v>
      </c>
      <c r="L57" s="22">
        <f>'IG Raw Data'!F57</f>
        <v>1836</v>
      </c>
    </row>
    <row r="58">
      <c r="A58" s="11">
        <f>'IG Raw Data'!A58</f>
        <v>45714</v>
      </c>
      <c r="B58" s="14">
        <f t="shared" si="1"/>
        <v>2</v>
      </c>
      <c r="C58" s="16">
        <f>'IG Raw Data'!B58</f>
        <v>89019</v>
      </c>
      <c r="D58" s="17">
        <f t="shared" si="2"/>
        <v>0.02438805199</v>
      </c>
      <c r="E58" s="16">
        <f>'IG Raw Data'!C58</f>
        <v>2171</v>
      </c>
      <c r="F58" s="19">
        <f t="shared" si="3"/>
        <v>1.444035007</v>
      </c>
      <c r="G58" s="19">
        <f t="shared" si="4"/>
        <v>35.21720082</v>
      </c>
      <c r="H58" s="19">
        <f>'IG Raw Data'!D58</f>
        <v>3135</v>
      </c>
      <c r="I58" s="17">
        <f t="shared" si="5"/>
        <v>0.0170428374</v>
      </c>
      <c r="J58" s="20">
        <f>'IG Raw Data'!E58</f>
        <v>37</v>
      </c>
      <c r="K58" s="22">
        <f t="shared" si="6"/>
        <v>162.2972973</v>
      </c>
      <c r="L58" s="22">
        <f>'IG Raw Data'!F58</f>
        <v>6005</v>
      </c>
    </row>
    <row r="59">
      <c r="A59" s="11">
        <f>'IG Raw Data'!A59</f>
        <v>45715</v>
      </c>
      <c r="B59" s="14">
        <f t="shared" si="1"/>
        <v>2</v>
      </c>
      <c r="C59" s="16">
        <f>'IG Raw Data'!B59</f>
        <v>42261</v>
      </c>
      <c r="D59" s="17">
        <f t="shared" si="2"/>
        <v>0.0300276851</v>
      </c>
      <c r="E59" s="16">
        <f>'IG Raw Data'!C59</f>
        <v>1269</v>
      </c>
      <c r="F59" s="19">
        <f t="shared" si="3"/>
        <v>1.620173365</v>
      </c>
      <c r="G59" s="19">
        <f t="shared" si="4"/>
        <v>48.65005561</v>
      </c>
      <c r="H59" s="19">
        <f>'IG Raw Data'!D59</f>
        <v>2056</v>
      </c>
      <c r="I59" s="17">
        <f t="shared" si="5"/>
        <v>0.0133963751</v>
      </c>
      <c r="J59" s="20">
        <f>'IG Raw Data'!E59</f>
        <v>17</v>
      </c>
      <c r="K59" s="22">
        <f t="shared" si="6"/>
        <v>190.2941176</v>
      </c>
      <c r="L59" s="22">
        <f>'IG Raw Data'!F59</f>
        <v>3235</v>
      </c>
    </row>
    <row r="60">
      <c r="A60" s="11">
        <f>'IG Raw Data'!A60</f>
        <v>45716</v>
      </c>
      <c r="B60" s="14">
        <f t="shared" si="1"/>
        <v>2</v>
      </c>
      <c r="C60" s="16">
        <f>'IG Raw Data'!B60</f>
        <v>14686</v>
      </c>
      <c r="D60" s="17">
        <f t="shared" si="2"/>
        <v>0.01123518998</v>
      </c>
      <c r="E60" s="16">
        <f>'IG Raw Data'!C60</f>
        <v>165</v>
      </c>
      <c r="F60" s="19">
        <f t="shared" si="3"/>
        <v>1.648484848</v>
      </c>
      <c r="G60" s="19">
        <f t="shared" si="4"/>
        <v>18.52104045</v>
      </c>
      <c r="H60" s="19">
        <f>'IG Raw Data'!D60</f>
        <v>272</v>
      </c>
      <c r="I60" s="17">
        <f t="shared" si="5"/>
        <v>0.01212121212</v>
      </c>
      <c r="J60" s="20">
        <f>'IG Raw Data'!E60</f>
        <v>2</v>
      </c>
      <c r="K60" s="22">
        <f t="shared" si="6"/>
        <v>172</v>
      </c>
      <c r="L60" s="22">
        <f>'IG Raw Data'!F60</f>
        <v>344</v>
      </c>
    </row>
    <row r="61">
      <c r="A61" s="11">
        <f>'IG Raw Data'!A61</f>
        <v>45717</v>
      </c>
      <c r="B61" s="14">
        <f t="shared" si="1"/>
        <v>3</v>
      </c>
      <c r="C61" s="16">
        <f>'IG Raw Data'!B61</f>
        <v>74275</v>
      </c>
      <c r="D61" s="17">
        <f t="shared" si="2"/>
        <v>0.01656008078</v>
      </c>
      <c r="E61" s="16">
        <f>'IG Raw Data'!C61</f>
        <v>1230</v>
      </c>
      <c r="F61" s="19">
        <f t="shared" si="3"/>
        <v>1.291056911</v>
      </c>
      <c r="G61" s="19">
        <f t="shared" si="4"/>
        <v>21.38000673</v>
      </c>
      <c r="H61" s="19">
        <f>'IG Raw Data'!D61</f>
        <v>1588</v>
      </c>
      <c r="I61" s="17">
        <f t="shared" si="5"/>
        <v>0.02520325203</v>
      </c>
      <c r="J61" s="20">
        <f>'IG Raw Data'!E61</f>
        <v>31</v>
      </c>
      <c r="K61" s="22">
        <f t="shared" si="6"/>
        <v>130.2258065</v>
      </c>
      <c r="L61" s="22">
        <f>'IG Raw Data'!F61</f>
        <v>4037</v>
      </c>
    </row>
    <row r="62">
      <c r="A62" s="11">
        <f>'IG Raw Data'!A62</f>
        <v>45718</v>
      </c>
      <c r="B62" s="14">
        <f t="shared" si="1"/>
        <v>3</v>
      </c>
      <c r="C62" s="16">
        <f>'IG Raw Data'!B62</f>
        <v>43481</v>
      </c>
      <c r="D62" s="17">
        <f t="shared" si="2"/>
        <v>0.03245095559</v>
      </c>
      <c r="E62" s="16">
        <f>'IG Raw Data'!C62</f>
        <v>1411</v>
      </c>
      <c r="F62" s="19">
        <f t="shared" si="3"/>
        <v>1.523742027</v>
      </c>
      <c r="G62" s="19">
        <f t="shared" si="4"/>
        <v>49.44688485</v>
      </c>
      <c r="H62" s="19">
        <f>'IG Raw Data'!D62</f>
        <v>2150</v>
      </c>
      <c r="I62" s="17">
        <f t="shared" si="5"/>
        <v>0.01700921332</v>
      </c>
      <c r="J62" s="20">
        <f>'IG Raw Data'!E62</f>
        <v>24</v>
      </c>
      <c r="K62" s="22">
        <f t="shared" si="6"/>
        <v>143.25</v>
      </c>
      <c r="L62" s="22">
        <f>'IG Raw Data'!F62</f>
        <v>3438</v>
      </c>
    </row>
    <row r="63">
      <c r="A63" s="11">
        <f>'IG Raw Data'!A63</f>
        <v>45719</v>
      </c>
      <c r="B63" s="14">
        <f t="shared" si="1"/>
        <v>3</v>
      </c>
      <c r="C63" s="16">
        <f>'IG Raw Data'!B63</f>
        <v>24107</v>
      </c>
      <c r="D63" s="17">
        <f t="shared" si="2"/>
        <v>0.02559422574</v>
      </c>
      <c r="E63" s="16">
        <f>'IG Raw Data'!C63</f>
        <v>617</v>
      </c>
      <c r="F63" s="19">
        <f t="shared" si="3"/>
        <v>1.077795786</v>
      </c>
      <c r="G63" s="19">
        <f t="shared" si="4"/>
        <v>27.58534865</v>
      </c>
      <c r="H63" s="19">
        <f>'IG Raw Data'!D63</f>
        <v>665</v>
      </c>
      <c r="I63" s="17">
        <f t="shared" si="5"/>
        <v>0.0226904376</v>
      </c>
      <c r="J63" s="20">
        <f>'IG Raw Data'!E63</f>
        <v>14</v>
      </c>
      <c r="K63" s="22">
        <f t="shared" si="6"/>
        <v>192</v>
      </c>
      <c r="L63" s="22">
        <f>'IG Raw Data'!F63</f>
        <v>2688</v>
      </c>
    </row>
    <row r="64">
      <c r="A64" s="11">
        <f>'IG Raw Data'!A64</f>
        <v>45720</v>
      </c>
      <c r="B64" s="14">
        <f t="shared" si="1"/>
        <v>3</v>
      </c>
      <c r="C64" s="16">
        <f>'IG Raw Data'!B64</f>
        <v>34969</v>
      </c>
      <c r="D64" s="17">
        <f t="shared" si="2"/>
        <v>0.01484171695</v>
      </c>
      <c r="E64" s="16">
        <f>'IG Raw Data'!C64</f>
        <v>519</v>
      </c>
      <c r="F64" s="19">
        <f t="shared" si="3"/>
        <v>1.658959538</v>
      </c>
      <c r="G64" s="19">
        <f t="shared" si="4"/>
        <v>24.62180789</v>
      </c>
      <c r="H64" s="19">
        <f>'IG Raw Data'!D64</f>
        <v>861</v>
      </c>
      <c r="I64" s="17">
        <f t="shared" si="5"/>
        <v>0.01734104046</v>
      </c>
      <c r="J64" s="20">
        <f>'IG Raw Data'!E64</f>
        <v>9</v>
      </c>
      <c r="K64" s="22">
        <f t="shared" si="6"/>
        <v>228.6666667</v>
      </c>
      <c r="L64" s="22">
        <f>'IG Raw Data'!F64</f>
        <v>2058</v>
      </c>
    </row>
    <row r="65">
      <c r="A65" s="11">
        <f>'IG Raw Data'!A65</f>
        <v>45721</v>
      </c>
      <c r="B65" s="14">
        <f t="shared" si="1"/>
        <v>3</v>
      </c>
      <c r="C65" s="16">
        <f>'IG Raw Data'!B65</f>
        <v>56378</v>
      </c>
      <c r="D65" s="17">
        <f t="shared" si="2"/>
        <v>0.02385682358</v>
      </c>
      <c r="E65" s="16">
        <f>'IG Raw Data'!C65</f>
        <v>1345</v>
      </c>
      <c r="F65" s="19">
        <f t="shared" si="3"/>
        <v>1.759107807</v>
      </c>
      <c r="G65" s="19">
        <f t="shared" si="4"/>
        <v>41.96672461</v>
      </c>
      <c r="H65" s="19">
        <f>'IG Raw Data'!D65</f>
        <v>2366</v>
      </c>
      <c r="I65" s="17">
        <f t="shared" si="5"/>
        <v>0.02304832714</v>
      </c>
      <c r="J65" s="20">
        <f>'IG Raw Data'!E65</f>
        <v>31</v>
      </c>
      <c r="K65" s="22">
        <f t="shared" si="6"/>
        <v>109.2580645</v>
      </c>
      <c r="L65" s="22">
        <f>'IG Raw Data'!F65</f>
        <v>3387</v>
      </c>
    </row>
    <row r="66">
      <c r="A66" s="11">
        <f>'IG Raw Data'!A66</f>
        <v>45722</v>
      </c>
      <c r="B66" s="14">
        <f t="shared" si="1"/>
        <v>3</v>
      </c>
      <c r="C66" s="16">
        <f>'IG Raw Data'!B66</f>
        <v>57170</v>
      </c>
      <c r="D66" s="17">
        <f t="shared" si="2"/>
        <v>0.02405107574</v>
      </c>
      <c r="E66" s="16">
        <f>'IG Raw Data'!C66</f>
        <v>1375</v>
      </c>
      <c r="F66" s="19">
        <f t="shared" si="3"/>
        <v>1.242181818</v>
      </c>
      <c r="G66" s="19">
        <f t="shared" si="4"/>
        <v>29.87580899</v>
      </c>
      <c r="H66" s="19">
        <f>'IG Raw Data'!D66</f>
        <v>1708</v>
      </c>
      <c r="I66" s="17">
        <f t="shared" si="5"/>
        <v>0.01381818182</v>
      </c>
      <c r="J66" s="20">
        <f>'IG Raw Data'!E66</f>
        <v>19</v>
      </c>
      <c r="K66" s="22">
        <f t="shared" si="6"/>
        <v>221.2631579</v>
      </c>
      <c r="L66" s="22">
        <f>'IG Raw Data'!F66</f>
        <v>4204</v>
      </c>
    </row>
    <row r="67">
      <c r="A67" s="11">
        <f>'IG Raw Data'!A67</f>
        <v>45723</v>
      </c>
      <c r="B67" s="14">
        <f t="shared" si="1"/>
        <v>3</v>
      </c>
      <c r="C67" s="16">
        <f>'IG Raw Data'!B67</f>
        <v>26837</v>
      </c>
      <c r="D67" s="17">
        <f t="shared" si="2"/>
        <v>0.02202183553</v>
      </c>
      <c r="E67" s="16">
        <f>'IG Raw Data'!C67</f>
        <v>591</v>
      </c>
      <c r="F67" s="19">
        <f t="shared" si="3"/>
        <v>1</v>
      </c>
      <c r="G67" s="19">
        <f t="shared" si="4"/>
        <v>22.02183553</v>
      </c>
      <c r="H67" s="19">
        <f>'IG Raw Data'!D67</f>
        <v>591</v>
      </c>
      <c r="I67" s="17">
        <f t="shared" si="5"/>
        <v>0.01861252115</v>
      </c>
      <c r="J67" s="20">
        <f>'IG Raw Data'!E67</f>
        <v>11</v>
      </c>
      <c r="K67" s="22">
        <f t="shared" si="6"/>
        <v>94.63636364</v>
      </c>
      <c r="L67" s="22">
        <f>'IG Raw Data'!F67</f>
        <v>1041</v>
      </c>
    </row>
    <row r="68">
      <c r="A68" s="11">
        <f>'IG Raw Data'!A68</f>
        <v>45724</v>
      </c>
      <c r="B68" s="14">
        <f t="shared" si="1"/>
        <v>3</v>
      </c>
      <c r="C68" s="16">
        <f>'IG Raw Data'!B68</f>
        <v>81804</v>
      </c>
      <c r="D68" s="17">
        <f t="shared" si="2"/>
        <v>0.02211383306</v>
      </c>
      <c r="E68" s="16">
        <f>'IG Raw Data'!C68</f>
        <v>1809</v>
      </c>
      <c r="F68" s="19">
        <f t="shared" si="3"/>
        <v>1.142067441</v>
      </c>
      <c r="G68" s="19">
        <f t="shared" si="4"/>
        <v>25.25548873</v>
      </c>
      <c r="H68" s="19">
        <f>'IG Raw Data'!D68</f>
        <v>2066</v>
      </c>
      <c r="I68" s="17">
        <f t="shared" si="5"/>
        <v>0.02432283029</v>
      </c>
      <c r="J68" s="20">
        <f>'IG Raw Data'!E68</f>
        <v>44</v>
      </c>
      <c r="K68" s="22">
        <f t="shared" si="6"/>
        <v>114.75</v>
      </c>
      <c r="L68" s="22">
        <f>'IG Raw Data'!F68</f>
        <v>5049</v>
      </c>
    </row>
    <row r="69">
      <c r="A69" s="11">
        <f>'IG Raw Data'!A69</f>
        <v>45725</v>
      </c>
      <c r="B69" s="14">
        <f t="shared" si="1"/>
        <v>3</v>
      </c>
      <c r="C69" s="16">
        <f>'IG Raw Data'!B69</f>
        <v>69650</v>
      </c>
      <c r="D69" s="17">
        <f t="shared" si="2"/>
        <v>0.03129935391</v>
      </c>
      <c r="E69" s="16">
        <f>'IG Raw Data'!C69</f>
        <v>2180</v>
      </c>
      <c r="F69" s="19">
        <f t="shared" si="3"/>
        <v>1.16146789</v>
      </c>
      <c r="G69" s="19">
        <f t="shared" si="4"/>
        <v>36.35319454</v>
      </c>
      <c r="H69" s="19">
        <f>'IG Raw Data'!D69</f>
        <v>2532</v>
      </c>
      <c r="I69" s="17">
        <f t="shared" si="5"/>
        <v>0.02064220183</v>
      </c>
      <c r="J69" s="20">
        <f>'IG Raw Data'!E69</f>
        <v>45</v>
      </c>
      <c r="K69" s="22">
        <f t="shared" si="6"/>
        <v>164.2</v>
      </c>
      <c r="L69" s="22">
        <f>'IG Raw Data'!F69</f>
        <v>7389</v>
      </c>
    </row>
    <row r="70">
      <c r="A70" s="11">
        <f>'IG Raw Data'!A70</f>
        <v>45726</v>
      </c>
      <c r="B70" s="14">
        <f t="shared" si="1"/>
        <v>3</v>
      </c>
      <c r="C70" s="16">
        <f>'IG Raw Data'!B70</f>
        <v>88162</v>
      </c>
      <c r="D70" s="17">
        <f t="shared" si="2"/>
        <v>0.02190286064</v>
      </c>
      <c r="E70" s="16">
        <f>'IG Raw Data'!C70</f>
        <v>1931</v>
      </c>
      <c r="F70" s="19">
        <f t="shared" si="3"/>
        <v>1.591403418</v>
      </c>
      <c r="G70" s="19">
        <f t="shared" si="4"/>
        <v>34.85628729</v>
      </c>
      <c r="H70" s="19">
        <f>'IG Raw Data'!D70</f>
        <v>3073</v>
      </c>
      <c r="I70" s="17">
        <f t="shared" si="5"/>
        <v>0.02123252201</v>
      </c>
      <c r="J70" s="20">
        <f>'IG Raw Data'!E70</f>
        <v>41</v>
      </c>
      <c r="K70" s="22">
        <f t="shared" si="6"/>
        <v>172.9512195</v>
      </c>
      <c r="L70" s="22">
        <f>'IG Raw Data'!F70</f>
        <v>7091</v>
      </c>
    </row>
    <row r="71">
      <c r="A71" s="11">
        <f>'IG Raw Data'!A71</f>
        <v>45727</v>
      </c>
      <c r="B71" s="14">
        <f t="shared" si="1"/>
        <v>3</v>
      </c>
      <c r="C71" s="16">
        <f>'IG Raw Data'!B71</f>
        <v>35355</v>
      </c>
      <c r="D71" s="17">
        <f t="shared" si="2"/>
        <v>0.02081742328</v>
      </c>
      <c r="E71" s="16">
        <f>'IG Raw Data'!C71</f>
        <v>736</v>
      </c>
      <c r="F71" s="19">
        <f t="shared" si="3"/>
        <v>1.301630435</v>
      </c>
      <c r="G71" s="19">
        <f t="shared" si="4"/>
        <v>27.09659171</v>
      </c>
      <c r="H71" s="19">
        <f>'IG Raw Data'!D71</f>
        <v>958</v>
      </c>
      <c r="I71" s="17">
        <f t="shared" si="5"/>
        <v>0.01222826087</v>
      </c>
      <c r="J71" s="20">
        <f>'IG Raw Data'!E71</f>
        <v>9</v>
      </c>
      <c r="K71" s="22">
        <f t="shared" si="6"/>
        <v>190.3333333</v>
      </c>
      <c r="L71" s="22">
        <f>'IG Raw Data'!F71</f>
        <v>1713</v>
      </c>
    </row>
    <row r="72">
      <c r="A72" s="11">
        <f>'IG Raw Data'!A72</f>
        <v>45728</v>
      </c>
      <c r="B72" s="14">
        <f t="shared" si="1"/>
        <v>3</v>
      </c>
      <c r="C72" s="16">
        <f>'IG Raw Data'!B72</f>
        <v>90027</v>
      </c>
      <c r="D72" s="17">
        <f t="shared" si="2"/>
        <v>0.01570639919</v>
      </c>
      <c r="E72" s="16">
        <f>'IG Raw Data'!C72</f>
        <v>1414</v>
      </c>
      <c r="F72" s="19">
        <f t="shared" si="3"/>
        <v>1.463224894</v>
      </c>
      <c r="G72" s="19">
        <f t="shared" si="4"/>
        <v>22.98199429</v>
      </c>
      <c r="H72" s="19">
        <f>'IG Raw Data'!D72</f>
        <v>2069</v>
      </c>
      <c r="I72" s="17">
        <f t="shared" si="5"/>
        <v>0.01768033946</v>
      </c>
      <c r="J72" s="20">
        <f>'IG Raw Data'!E72</f>
        <v>25</v>
      </c>
      <c r="K72" s="22">
        <f t="shared" si="6"/>
        <v>208.68</v>
      </c>
      <c r="L72" s="22">
        <f>'IG Raw Data'!F72</f>
        <v>5217</v>
      </c>
    </row>
    <row r="73">
      <c r="A73" s="11">
        <f>'IG Raw Data'!A73</f>
        <v>45729</v>
      </c>
      <c r="B73" s="14">
        <f t="shared" si="1"/>
        <v>3</v>
      </c>
      <c r="C73" s="16">
        <f>'IG Raw Data'!B73</f>
        <v>25328</v>
      </c>
      <c r="D73" s="17">
        <f t="shared" si="2"/>
        <v>0.0187144662</v>
      </c>
      <c r="E73" s="16">
        <f>'IG Raw Data'!C73</f>
        <v>474</v>
      </c>
      <c r="F73" s="19">
        <f t="shared" si="3"/>
        <v>1.502109705</v>
      </c>
      <c r="G73" s="19">
        <f t="shared" si="4"/>
        <v>28.1111813</v>
      </c>
      <c r="H73" s="19">
        <f>'IG Raw Data'!D73</f>
        <v>712</v>
      </c>
      <c r="I73" s="17">
        <f t="shared" si="5"/>
        <v>0.02109704641</v>
      </c>
      <c r="J73" s="20">
        <f>'IG Raw Data'!E73</f>
        <v>10</v>
      </c>
      <c r="K73" s="22">
        <f t="shared" si="6"/>
        <v>139.2</v>
      </c>
      <c r="L73" s="22">
        <f>'IG Raw Data'!F73</f>
        <v>1392</v>
      </c>
    </row>
    <row r="74">
      <c r="A74" s="11">
        <f>'IG Raw Data'!A74</f>
        <v>45730</v>
      </c>
      <c r="B74" s="14">
        <f t="shared" si="1"/>
        <v>3</v>
      </c>
      <c r="C74" s="16">
        <f>'IG Raw Data'!B74</f>
        <v>59348</v>
      </c>
      <c r="D74" s="17">
        <f t="shared" si="2"/>
        <v>0.01112084653</v>
      </c>
      <c r="E74" s="16">
        <f>'IG Raw Data'!C74</f>
        <v>660</v>
      </c>
      <c r="F74" s="19">
        <f t="shared" si="3"/>
        <v>1.596969697</v>
      </c>
      <c r="G74" s="19">
        <f t="shared" si="4"/>
        <v>17.75965492</v>
      </c>
      <c r="H74" s="19">
        <f>'IG Raw Data'!D74</f>
        <v>1054</v>
      </c>
      <c r="I74" s="17">
        <f t="shared" si="5"/>
        <v>0.01060606061</v>
      </c>
      <c r="J74" s="20">
        <f>'IG Raw Data'!E74</f>
        <v>7</v>
      </c>
      <c r="K74" s="22">
        <f t="shared" si="6"/>
        <v>136.8571429</v>
      </c>
      <c r="L74" s="22">
        <f>'IG Raw Data'!F74</f>
        <v>958</v>
      </c>
    </row>
    <row r="75">
      <c r="A75" s="11">
        <f>'IG Raw Data'!A75</f>
        <v>45731</v>
      </c>
      <c r="B75" s="14">
        <f t="shared" si="1"/>
        <v>3</v>
      </c>
      <c r="C75" s="16">
        <f>'IG Raw Data'!B75</f>
        <v>24427</v>
      </c>
      <c r="D75" s="17">
        <f t="shared" si="2"/>
        <v>0.01326401114</v>
      </c>
      <c r="E75" s="16">
        <f>'IG Raw Data'!C75</f>
        <v>324</v>
      </c>
      <c r="F75" s="19">
        <f t="shared" si="3"/>
        <v>1.080246914</v>
      </c>
      <c r="G75" s="19">
        <f t="shared" si="4"/>
        <v>14.32840709</v>
      </c>
      <c r="H75" s="19">
        <f>'IG Raw Data'!D75</f>
        <v>350</v>
      </c>
      <c r="I75" s="17">
        <f t="shared" si="5"/>
        <v>0.01543209877</v>
      </c>
      <c r="J75" s="20">
        <f>'IG Raw Data'!E75</f>
        <v>5</v>
      </c>
      <c r="K75" s="22">
        <f t="shared" si="6"/>
        <v>190.2</v>
      </c>
      <c r="L75" s="22">
        <f>'IG Raw Data'!F75</f>
        <v>951</v>
      </c>
    </row>
    <row r="76">
      <c r="A76" s="11">
        <f>'IG Raw Data'!A76</f>
        <v>45732</v>
      </c>
      <c r="B76" s="14">
        <f t="shared" si="1"/>
        <v>3</v>
      </c>
      <c r="C76" s="16">
        <f>'IG Raw Data'!B76</f>
        <v>23408</v>
      </c>
      <c r="D76" s="17">
        <f t="shared" si="2"/>
        <v>0.0214456596</v>
      </c>
      <c r="E76" s="16">
        <f>'IG Raw Data'!C76</f>
        <v>502</v>
      </c>
      <c r="F76" s="19">
        <f t="shared" si="3"/>
        <v>1.657370518</v>
      </c>
      <c r="G76" s="19">
        <f t="shared" si="4"/>
        <v>35.54340396</v>
      </c>
      <c r="H76" s="19">
        <f>'IG Raw Data'!D76</f>
        <v>832</v>
      </c>
      <c r="I76" s="17">
        <f t="shared" si="5"/>
        <v>0.01792828685</v>
      </c>
      <c r="J76" s="20">
        <f>'IG Raw Data'!E76</f>
        <v>9</v>
      </c>
      <c r="K76" s="22">
        <f t="shared" si="6"/>
        <v>109</v>
      </c>
      <c r="L76" s="22">
        <f>'IG Raw Data'!F76</f>
        <v>981</v>
      </c>
    </row>
    <row r="77">
      <c r="A77" s="11">
        <f>'IG Raw Data'!A77</f>
        <v>45733</v>
      </c>
      <c r="B77" s="14">
        <f t="shared" si="1"/>
        <v>3</v>
      </c>
      <c r="C77" s="16">
        <f>'IG Raw Data'!B77</f>
        <v>48565</v>
      </c>
      <c r="D77" s="17">
        <f t="shared" si="2"/>
        <v>0.03150416967</v>
      </c>
      <c r="E77" s="16">
        <f>'IG Raw Data'!C77</f>
        <v>1530</v>
      </c>
      <c r="F77" s="19">
        <f t="shared" si="3"/>
        <v>1.749019608</v>
      </c>
      <c r="G77" s="19">
        <f t="shared" si="4"/>
        <v>55.10141048</v>
      </c>
      <c r="H77" s="19">
        <f>'IG Raw Data'!D77</f>
        <v>2676</v>
      </c>
      <c r="I77" s="17">
        <f t="shared" si="5"/>
        <v>0.02549019608</v>
      </c>
      <c r="J77" s="20">
        <f>'IG Raw Data'!E77</f>
        <v>39</v>
      </c>
      <c r="K77" s="22">
        <f t="shared" si="6"/>
        <v>175.0512821</v>
      </c>
      <c r="L77" s="22">
        <f>'IG Raw Data'!F77</f>
        <v>6827</v>
      </c>
    </row>
    <row r="78">
      <c r="A78" s="11">
        <f>'IG Raw Data'!A78</f>
        <v>45734</v>
      </c>
      <c r="B78" s="14">
        <f t="shared" si="1"/>
        <v>3</v>
      </c>
      <c r="C78" s="16">
        <f>'IG Raw Data'!B78</f>
        <v>37692</v>
      </c>
      <c r="D78" s="17">
        <f t="shared" si="2"/>
        <v>0.01745728537</v>
      </c>
      <c r="E78" s="16">
        <f>'IG Raw Data'!C78</f>
        <v>658</v>
      </c>
      <c r="F78" s="19">
        <f t="shared" si="3"/>
        <v>1.43768997</v>
      </c>
      <c r="G78" s="19">
        <f t="shared" si="4"/>
        <v>25.09816407</v>
      </c>
      <c r="H78" s="19">
        <f>'IG Raw Data'!D78</f>
        <v>946</v>
      </c>
      <c r="I78" s="17">
        <f t="shared" si="5"/>
        <v>0.01367781155</v>
      </c>
      <c r="J78" s="20">
        <f>'IG Raw Data'!E78</f>
        <v>9</v>
      </c>
      <c r="K78" s="22">
        <f t="shared" si="6"/>
        <v>107.6666667</v>
      </c>
      <c r="L78" s="22">
        <f>'IG Raw Data'!F78</f>
        <v>969</v>
      </c>
    </row>
    <row r="79">
      <c r="A79" s="11">
        <f>'IG Raw Data'!A79</f>
        <v>45735</v>
      </c>
      <c r="B79" s="14">
        <f t="shared" si="1"/>
        <v>3</v>
      </c>
      <c r="C79" s="16">
        <f>'IG Raw Data'!B79</f>
        <v>29345</v>
      </c>
      <c r="D79" s="17">
        <f t="shared" si="2"/>
        <v>0.02031010394</v>
      </c>
      <c r="E79" s="16">
        <f>'IG Raw Data'!C79</f>
        <v>596</v>
      </c>
      <c r="F79" s="19">
        <f t="shared" si="3"/>
        <v>1.41442953</v>
      </c>
      <c r="G79" s="19">
        <f t="shared" si="4"/>
        <v>28.72721077</v>
      </c>
      <c r="H79" s="19">
        <f>'IG Raw Data'!D79</f>
        <v>843</v>
      </c>
      <c r="I79" s="17">
        <f t="shared" si="5"/>
        <v>0.02013422819</v>
      </c>
      <c r="J79" s="20">
        <f>'IG Raw Data'!E79</f>
        <v>12</v>
      </c>
      <c r="K79" s="22">
        <f t="shared" si="6"/>
        <v>195.75</v>
      </c>
      <c r="L79" s="22">
        <f>'IG Raw Data'!F79</f>
        <v>2349</v>
      </c>
    </row>
    <row r="80">
      <c r="A80" s="11">
        <f>'IG Raw Data'!A80</f>
        <v>45736</v>
      </c>
      <c r="B80" s="14">
        <f t="shared" si="1"/>
        <v>3</v>
      </c>
      <c r="C80" s="16">
        <f>'IG Raw Data'!B80</f>
        <v>86428</v>
      </c>
      <c r="D80" s="17">
        <f t="shared" si="2"/>
        <v>0.01021659647</v>
      </c>
      <c r="E80" s="16">
        <f>'IG Raw Data'!C80</f>
        <v>883</v>
      </c>
      <c r="F80" s="19">
        <f t="shared" si="3"/>
        <v>1.697621744</v>
      </c>
      <c r="G80" s="19">
        <f t="shared" si="4"/>
        <v>17.34391632</v>
      </c>
      <c r="H80" s="19">
        <f>'IG Raw Data'!D80</f>
        <v>1499</v>
      </c>
      <c r="I80" s="17">
        <f t="shared" si="5"/>
        <v>0.02718006795</v>
      </c>
      <c r="J80" s="20">
        <f>'IG Raw Data'!E80</f>
        <v>24</v>
      </c>
      <c r="K80" s="22">
        <f t="shared" si="6"/>
        <v>155.9166667</v>
      </c>
      <c r="L80" s="22">
        <f>'IG Raw Data'!F80</f>
        <v>3742</v>
      </c>
    </row>
    <row r="81">
      <c r="A81" s="11">
        <f>'IG Raw Data'!A81</f>
        <v>45737</v>
      </c>
      <c r="B81" s="14">
        <f t="shared" si="1"/>
        <v>3</v>
      </c>
      <c r="C81" s="16">
        <f>'IG Raw Data'!B81</f>
        <v>29192</v>
      </c>
      <c r="D81" s="17">
        <f t="shared" si="2"/>
        <v>0.02565771444</v>
      </c>
      <c r="E81" s="16">
        <f>'IG Raw Data'!C81</f>
        <v>749</v>
      </c>
      <c r="F81" s="19">
        <f t="shared" si="3"/>
        <v>1.744993324</v>
      </c>
      <c r="G81" s="19">
        <f t="shared" si="4"/>
        <v>44.77254042</v>
      </c>
      <c r="H81" s="19">
        <f>'IG Raw Data'!D81</f>
        <v>1307</v>
      </c>
      <c r="I81" s="17">
        <f t="shared" si="5"/>
        <v>0.02002670227</v>
      </c>
      <c r="J81" s="20">
        <f>'IG Raw Data'!E81</f>
        <v>15</v>
      </c>
      <c r="K81" s="22">
        <f t="shared" si="6"/>
        <v>108.2666667</v>
      </c>
      <c r="L81" s="22">
        <f>'IG Raw Data'!F81</f>
        <v>1624</v>
      </c>
    </row>
    <row r="82">
      <c r="A82" s="11">
        <f>'IG Raw Data'!A82</f>
        <v>45738</v>
      </c>
      <c r="B82" s="14">
        <f t="shared" si="1"/>
        <v>3</v>
      </c>
      <c r="C82" s="16">
        <f>'IG Raw Data'!B82</f>
        <v>35448</v>
      </c>
      <c r="D82" s="17">
        <f t="shared" si="2"/>
        <v>0.02736402618</v>
      </c>
      <c r="E82" s="16">
        <f>'IG Raw Data'!C82</f>
        <v>970</v>
      </c>
      <c r="F82" s="19">
        <f t="shared" si="3"/>
        <v>1.132989691</v>
      </c>
      <c r="G82" s="19">
        <f t="shared" si="4"/>
        <v>31.00315956</v>
      </c>
      <c r="H82" s="19">
        <f>'IG Raw Data'!D82</f>
        <v>1099</v>
      </c>
      <c r="I82" s="17">
        <f t="shared" si="5"/>
        <v>0.01443298969</v>
      </c>
      <c r="J82" s="20">
        <f>'IG Raw Data'!E82</f>
        <v>14</v>
      </c>
      <c r="K82" s="22">
        <f t="shared" si="6"/>
        <v>158.7142857</v>
      </c>
      <c r="L82" s="22">
        <f>'IG Raw Data'!F82</f>
        <v>2222</v>
      </c>
    </row>
    <row r="83">
      <c r="A83" s="11">
        <f>'IG Raw Data'!A83</f>
        <v>45739</v>
      </c>
      <c r="B83" s="14">
        <f t="shared" si="1"/>
        <v>3</v>
      </c>
      <c r="C83" s="16">
        <f>'IG Raw Data'!B83</f>
        <v>101862</v>
      </c>
      <c r="D83" s="17">
        <f t="shared" si="2"/>
        <v>0.01709175159</v>
      </c>
      <c r="E83" s="16">
        <f>'IG Raw Data'!C83</f>
        <v>1741</v>
      </c>
      <c r="F83" s="19">
        <f t="shared" si="3"/>
        <v>1.237794371</v>
      </c>
      <c r="G83" s="19">
        <f t="shared" si="4"/>
        <v>21.1560739</v>
      </c>
      <c r="H83" s="19">
        <f>'IG Raw Data'!D83</f>
        <v>2155</v>
      </c>
      <c r="I83" s="17">
        <f t="shared" si="5"/>
        <v>0.01608271109</v>
      </c>
      <c r="J83" s="20">
        <f>'IG Raw Data'!E83</f>
        <v>28</v>
      </c>
      <c r="K83" s="22">
        <f t="shared" si="6"/>
        <v>131.7142857</v>
      </c>
      <c r="L83" s="22">
        <f>'IG Raw Data'!F83</f>
        <v>3688</v>
      </c>
    </row>
    <row r="84">
      <c r="A84" s="11">
        <f>'IG Raw Data'!A84</f>
        <v>45740</v>
      </c>
      <c r="B84" s="14">
        <f t="shared" si="1"/>
        <v>3</v>
      </c>
      <c r="C84" s="16">
        <f>'IG Raw Data'!B84</f>
        <v>10360</v>
      </c>
      <c r="D84" s="17">
        <f t="shared" si="2"/>
        <v>0.01303088803</v>
      </c>
      <c r="E84" s="16">
        <f>'IG Raw Data'!C84</f>
        <v>135</v>
      </c>
      <c r="F84" s="19">
        <f t="shared" si="3"/>
        <v>1.355555556</v>
      </c>
      <c r="G84" s="19">
        <f t="shared" si="4"/>
        <v>17.66409266</v>
      </c>
      <c r="H84" s="19">
        <f>'IG Raw Data'!D84</f>
        <v>183</v>
      </c>
      <c r="I84" s="17">
        <f t="shared" si="5"/>
        <v>0.007407407407</v>
      </c>
      <c r="J84" s="20">
        <f>'IG Raw Data'!E84</f>
        <v>1</v>
      </c>
      <c r="K84" s="22">
        <f t="shared" si="6"/>
        <v>204</v>
      </c>
      <c r="L84" s="22">
        <f>'IG Raw Data'!F84</f>
        <v>204</v>
      </c>
    </row>
    <row r="85">
      <c r="A85" s="11">
        <f>'IG Raw Data'!A85</f>
        <v>45741</v>
      </c>
      <c r="B85" s="14">
        <f t="shared" si="1"/>
        <v>3</v>
      </c>
      <c r="C85" s="16">
        <f>'IG Raw Data'!B85</f>
        <v>74045</v>
      </c>
      <c r="D85" s="17">
        <f t="shared" si="2"/>
        <v>0.02511985954</v>
      </c>
      <c r="E85" s="16">
        <f>'IG Raw Data'!C85</f>
        <v>1860</v>
      </c>
      <c r="F85" s="19">
        <f t="shared" si="3"/>
        <v>1.727956989</v>
      </c>
      <c r="G85" s="19">
        <f t="shared" si="4"/>
        <v>43.40603687</v>
      </c>
      <c r="H85" s="19">
        <f>'IG Raw Data'!D85</f>
        <v>3214</v>
      </c>
      <c r="I85" s="17">
        <f t="shared" si="5"/>
        <v>0.01827956989</v>
      </c>
      <c r="J85" s="20">
        <f>'IG Raw Data'!E85</f>
        <v>34</v>
      </c>
      <c r="K85" s="22">
        <f t="shared" si="6"/>
        <v>113.3823529</v>
      </c>
      <c r="L85" s="22">
        <f>'IG Raw Data'!F85</f>
        <v>3855</v>
      </c>
    </row>
    <row r="86">
      <c r="A86" s="11">
        <f>'IG Raw Data'!A86</f>
        <v>45742</v>
      </c>
      <c r="B86" s="14">
        <f t="shared" si="1"/>
        <v>3</v>
      </c>
      <c r="C86" s="16">
        <f>'IG Raw Data'!B86</f>
        <v>24404</v>
      </c>
      <c r="D86" s="17">
        <f t="shared" si="2"/>
        <v>0.0231519423</v>
      </c>
      <c r="E86" s="16">
        <f>'IG Raw Data'!C86</f>
        <v>565</v>
      </c>
      <c r="F86" s="19">
        <f t="shared" si="3"/>
        <v>1.088495575</v>
      </c>
      <c r="G86" s="19">
        <f t="shared" si="4"/>
        <v>25.20078676</v>
      </c>
      <c r="H86" s="19">
        <f>'IG Raw Data'!D86</f>
        <v>615</v>
      </c>
      <c r="I86" s="17">
        <f t="shared" si="5"/>
        <v>0.02300884956</v>
      </c>
      <c r="J86" s="20">
        <f>'IG Raw Data'!E86</f>
        <v>13</v>
      </c>
      <c r="K86" s="22">
        <f t="shared" si="6"/>
        <v>116.6923077</v>
      </c>
      <c r="L86" s="22">
        <f>'IG Raw Data'!F86</f>
        <v>1517</v>
      </c>
    </row>
    <row r="87">
      <c r="A87" s="11">
        <f>'IG Raw Data'!A87</f>
        <v>45743</v>
      </c>
      <c r="B87" s="14">
        <f t="shared" si="1"/>
        <v>3</v>
      </c>
      <c r="C87" s="16">
        <f>'IG Raw Data'!B87</f>
        <v>77058</v>
      </c>
      <c r="D87" s="17">
        <f t="shared" si="2"/>
        <v>0.01369098601</v>
      </c>
      <c r="E87" s="16">
        <f>'IG Raw Data'!C87</f>
        <v>1055</v>
      </c>
      <c r="F87" s="19">
        <f t="shared" si="3"/>
        <v>1.204739336</v>
      </c>
      <c r="G87" s="19">
        <f t="shared" si="4"/>
        <v>16.4940694</v>
      </c>
      <c r="H87" s="19">
        <f>'IG Raw Data'!D87</f>
        <v>1271</v>
      </c>
      <c r="I87" s="17">
        <f t="shared" si="5"/>
        <v>0.02085308057</v>
      </c>
      <c r="J87" s="20">
        <f>'IG Raw Data'!E87</f>
        <v>22</v>
      </c>
      <c r="K87" s="22">
        <f t="shared" si="6"/>
        <v>118.2727273</v>
      </c>
      <c r="L87" s="22">
        <f>'IG Raw Data'!F87</f>
        <v>2602</v>
      </c>
    </row>
    <row r="88">
      <c r="A88" s="11">
        <f>'IG Raw Data'!A88</f>
        <v>45744</v>
      </c>
      <c r="B88" s="14">
        <f t="shared" si="1"/>
        <v>3</v>
      </c>
      <c r="C88" s="16">
        <f>'IG Raw Data'!B88</f>
        <v>14522</v>
      </c>
      <c r="D88" s="17">
        <f t="shared" si="2"/>
        <v>0.0199008401</v>
      </c>
      <c r="E88" s="16">
        <f>'IG Raw Data'!C88</f>
        <v>289</v>
      </c>
      <c r="F88" s="19">
        <f t="shared" si="3"/>
        <v>1.37716263</v>
      </c>
      <c r="G88" s="19">
        <f t="shared" si="4"/>
        <v>27.40669329</v>
      </c>
      <c r="H88" s="19">
        <f>'IG Raw Data'!D88</f>
        <v>398</v>
      </c>
      <c r="I88" s="17">
        <f t="shared" si="5"/>
        <v>0.01730103806</v>
      </c>
      <c r="J88" s="20">
        <f>'IG Raw Data'!E88</f>
        <v>5</v>
      </c>
      <c r="K88" s="22">
        <f t="shared" si="6"/>
        <v>206.2</v>
      </c>
      <c r="L88" s="22">
        <f>'IG Raw Data'!F88</f>
        <v>1031</v>
      </c>
    </row>
    <row r="89">
      <c r="A89" s="11">
        <f>'IG Raw Data'!A89</f>
        <v>45745</v>
      </c>
      <c r="B89" s="14">
        <f t="shared" si="1"/>
        <v>3</v>
      </c>
      <c r="C89" s="16">
        <f>'IG Raw Data'!B89</f>
        <v>76056</v>
      </c>
      <c r="D89" s="17">
        <f t="shared" si="2"/>
        <v>0.02953087199</v>
      </c>
      <c r="E89" s="16">
        <f>'IG Raw Data'!C89</f>
        <v>2246</v>
      </c>
      <c r="F89" s="19">
        <f t="shared" si="3"/>
        <v>1.599287622</v>
      </c>
      <c r="G89" s="19">
        <f t="shared" si="4"/>
        <v>47.22835805</v>
      </c>
      <c r="H89" s="19">
        <f>'IG Raw Data'!D89</f>
        <v>3592</v>
      </c>
      <c r="I89" s="17">
        <f t="shared" si="5"/>
        <v>0.01513802315</v>
      </c>
      <c r="J89" s="20">
        <f>'IG Raw Data'!E89</f>
        <v>34</v>
      </c>
      <c r="K89" s="22">
        <f t="shared" si="6"/>
        <v>177.6764706</v>
      </c>
      <c r="L89" s="22">
        <f>'IG Raw Data'!F89</f>
        <v>6041</v>
      </c>
    </row>
    <row r="90">
      <c r="A90" s="11">
        <f>'IG Raw Data'!A90</f>
        <v>45746</v>
      </c>
      <c r="B90" s="14">
        <f t="shared" si="1"/>
        <v>3</v>
      </c>
      <c r="C90" s="16">
        <f>'IG Raw Data'!B90</f>
        <v>62405</v>
      </c>
      <c r="D90" s="17">
        <f t="shared" si="2"/>
        <v>0.01322009454</v>
      </c>
      <c r="E90" s="16">
        <f>'IG Raw Data'!C90</f>
        <v>825</v>
      </c>
      <c r="F90" s="19">
        <f t="shared" si="3"/>
        <v>1.130909091</v>
      </c>
      <c r="G90" s="19">
        <f t="shared" si="4"/>
        <v>14.9507251</v>
      </c>
      <c r="H90" s="19">
        <f>'IG Raw Data'!D90</f>
        <v>933</v>
      </c>
      <c r="I90" s="17">
        <f t="shared" si="5"/>
        <v>0.01575757576</v>
      </c>
      <c r="J90" s="20">
        <f>'IG Raw Data'!E90</f>
        <v>13</v>
      </c>
      <c r="K90" s="22">
        <f t="shared" si="6"/>
        <v>94.07692308</v>
      </c>
      <c r="L90" s="22">
        <f>'IG Raw Data'!F90</f>
        <v>1223</v>
      </c>
    </row>
    <row r="91">
      <c r="A91" s="11">
        <f>'IG Raw Data'!A91</f>
        <v>45747</v>
      </c>
      <c r="B91" s="14">
        <f t="shared" si="1"/>
        <v>3</v>
      </c>
      <c r="C91" s="16">
        <f>'IG Raw Data'!B91</f>
        <v>48371</v>
      </c>
      <c r="D91" s="17">
        <f t="shared" si="2"/>
        <v>0.0148229311</v>
      </c>
      <c r="E91" s="16">
        <f>'IG Raw Data'!C91</f>
        <v>717</v>
      </c>
      <c r="F91" s="19">
        <f t="shared" si="3"/>
        <v>1.274755927</v>
      </c>
      <c r="G91" s="19">
        <f t="shared" si="4"/>
        <v>18.89561928</v>
      </c>
      <c r="H91" s="19">
        <f>'IG Raw Data'!D91</f>
        <v>914</v>
      </c>
      <c r="I91" s="17">
        <f t="shared" si="5"/>
        <v>0.01813110181</v>
      </c>
      <c r="J91" s="20">
        <f>'IG Raw Data'!E91</f>
        <v>13</v>
      </c>
      <c r="K91" s="22">
        <f t="shared" si="6"/>
        <v>135.6923077</v>
      </c>
      <c r="L91" s="22">
        <f>'IG Raw Data'!F91</f>
        <v>1764</v>
      </c>
    </row>
    <row r="92">
      <c r="A92" s="11">
        <f>'IG Raw Data'!A92</f>
        <v>45748</v>
      </c>
      <c r="B92" s="14">
        <f t="shared" si="1"/>
        <v>4</v>
      </c>
      <c r="C92" s="16">
        <f>'IG Raw Data'!B92</f>
        <v>66192</v>
      </c>
      <c r="D92" s="17">
        <f t="shared" si="2"/>
        <v>0.01648235436</v>
      </c>
      <c r="E92" s="16">
        <f>'IG Raw Data'!C92</f>
        <v>1091</v>
      </c>
      <c r="F92" s="19">
        <f t="shared" si="3"/>
        <v>1.70852429</v>
      </c>
      <c r="G92" s="19">
        <f t="shared" si="4"/>
        <v>28.16050278</v>
      </c>
      <c r="H92" s="19">
        <f>'IG Raw Data'!D92</f>
        <v>1864</v>
      </c>
      <c r="I92" s="17">
        <f t="shared" si="5"/>
        <v>0.02108157654</v>
      </c>
      <c r="J92" s="20">
        <f>'IG Raw Data'!E92</f>
        <v>23</v>
      </c>
      <c r="K92" s="22">
        <f t="shared" si="6"/>
        <v>124.173913</v>
      </c>
      <c r="L92" s="22">
        <f>'IG Raw Data'!F92</f>
        <v>2856</v>
      </c>
    </row>
    <row r="93">
      <c r="A93" s="11">
        <f>'IG Raw Data'!A93</f>
        <v>45749</v>
      </c>
      <c r="B93" s="14">
        <f t="shared" si="1"/>
        <v>4</v>
      </c>
      <c r="C93" s="16">
        <f>'IG Raw Data'!B93</f>
        <v>89399</v>
      </c>
      <c r="D93" s="17">
        <f t="shared" si="2"/>
        <v>0.01975413595</v>
      </c>
      <c r="E93" s="16">
        <f>'IG Raw Data'!C93</f>
        <v>1766</v>
      </c>
      <c r="F93" s="19">
        <f t="shared" si="3"/>
        <v>1.732729332</v>
      </c>
      <c r="G93" s="19">
        <f t="shared" si="4"/>
        <v>34.22857079</v>
      </c>
      <c r="H93" s="19">
        <f>'IG Raw Data'!D93</f>
        <v>3060</v>
      </c>
      <c r="I93" s="17">
        <f t="shared" si="5"/>
        <v>0.02378255946</v>
      </c>
      <c r="J93" s="20">
        <f>'IG Raw Data'!E93</f>
        <v>42</v>
      </c>
      <c r="K93" s="22">
        <f t="shared" si="6"/>
        <v>110.1428571</v>
      </c>
      <c r="L93" s="22">
        <f>'IG Raw Data'!F93</f>
        <v>4626</v>
      </c>
    </row>
    <row r="94">
      <c r="A94" s="11">
        <f>'IG Raw Data'!A94</f>
        <v>45750</v>
      </c>
      <c r="B94" s="14">
        <f t="shared" si="1"/>
        <v>4</v>
      </c>
      <c r="C94" s="16">
        <f>'IG Raw Data'!B94</f>
        <v>25304</v>
      </c>
      <c r="D94" s="17">
        <f t="shared" si="2"/>
        <v>0.01225102751</v>
      </c>
      <c r="E94" s="16">
        <f>'IG Raw Data'!C94</f>
        <v>310</v>
      </c>
      <c r="F94" s="19">
        <f t="shared" si="3"/>
        <v>1.593548387</v>
      </c>
      <c r="G94" s="19">
        <f t="shared" si="4"/>
        <v>19.52260512</v>
      </c>
      <c r="H94" s="19">
        <f>'IG Raw Data'!D94</f>
        <v>494</v>
      </c>
      <c r="I94" s="17">
        <f t="shared" si="5"/>
        <v>0.02258064516</v>
      </c>
      <c r="J94" s="20">
        <f>'IG Raw Data'!E94</f>
        <v>7</v>
      </c>
      <c r="K94" s="22">
        <f t="shared" si="6"/>
        <v>109.4285714</v>
      </c>
      <c r="L94" s="22">
        <f>'IG Raw Data'!F94</f>
        <v>766</v>
      </c>
    </row>
    <row r="95">
      <c r="A95" s="11">
        <f>'IG Raw Data'!A95</f>
        <v>45751</v>
      </c>
      <c r="B95" s="14">
        <f t="shared" si="1"/>
        <v>4</v>
      </c>
      <c r="C95" s="16">
        <f>'IG Raw Data'!B95</f>
        <v>65507</v>
      </c>
      <c r="D95" s="17">
        <f t="shared" si="2"/>
        <v>0.03161494191</v>
      </c>
      <c r="E95" s="16">
        <f>'IG Raw Data'!C95</f>
        <v>2071</v>
      </c>
      <c r="F95" s="19">
        <f t="shared" si="3"/>
        <v>1.554321584</v>
      </c>
      <c r="G95" s="19">
        <f t="shared" si="4"/>
        <v>49.13978659</v>
      </c>
      <c r="H95" s="19">
        <f>'IG Raw Data'!D95</f>
        <v>3219</v>
      </c>
      <c r="I95" s="17">
        <f t="shared" si="5"/>
        <v>0.02414292612</v>
      </c>
      <c r="J95" s="20">
        <f>'IG Raw Data'!E95</f>
        <v>50</v>
      </c>
      <c r="K95" s="22">
        <f t="shared" si="6"/>
        <v>126.5</v>
      </c>
      <c r="L95" s="22">
        <f>'IG Raw Data'!F95</f>
        <v>6325</v>
      </c>
    </row>
    <row r="96">
      <c r="A96" s="11">
        <f>'IG Raw Data'!A96</f>
        <v>45752</v>
      </c>
      <c r="B96" s="14">
        <f t="shared" si="1"/>
        <v>4</v>
      </c>
      <c r="C96" s="16">
        <f>'IG Raw Data'!B96</f>
        <v>19085</v>
      </c>
      <c r="D96" s="17">
        <f t="shared" si="2"/>
        <v>0.02336913807</v>
      </c>
      <c r="E96" s="16">
        <f>'IG Raw Data'!C96</f>
        <v>446</v>
      </c>
      <c r="F96" s="19">
        <f t="shared" si="3"/>
        <v>1.719730942</v>
      </c>
      <c r="G96" s="19">
        <f t="shared" si="4"/>
        <v>40.18862981</v>
      </c>
      <c r="H96" s="19">
        <f>'IG Raw Data'!D96</f>
        <v>767</v>
      </c>
      <c r="I96" s="17">
        <f t="shared" si="5"/>
        <v>0.01569506726</v>
      </c>
      <c r="J96" s="20">
        <f>'IG Raw Data'!E96</f>
        <v>7</v>
      </c>
      <c r="K96" s="22">
        <f t="shared" si="6"/>
        <v>99.57142857</v>
      </c>
      <c r="L96" s="22">
        <f>'IG Raw Data'!F96</f>
        <v>697</v>
      </c>
    </row>
    <row r="97">
      <c r="A97" s="11">
        <f>'IG Raw Data'!A97</f>
        <v>45753</v>
      </c>
      <c r="B97" s="14">
        <f t="shared" si="1"/>
        <v>4</v>
      </c>
      <c r="C97" s="16">
        <f>'IG Raw Data'!B97</f>
        <v>93702</v>
      </c>
      <c r="D97" s="17">
        <f t="shared" si="2"/>
        <v>0.01884698299</v>
      </c>
      <c r="E97" s="16">
        <f>'IG Raw Data'!C97</f>
        <v>1766</v>
      </c>
      <c r="F97" s="19">
        <f t="shared" si="3"/>
        <v>1.735560589</v>
      </c>
      <c r="G97" s="19">
        <f t="shared" si="4"/>
        <v>32.71008089</v>
      </c>
      <c r="H97" s="19">
        <f>'IG Raw Data'!D97</f>
        <v>3065</v>
      </c>
      <c r="I97" s="17">
        <f t="shared" si="5"/>
        <v>0.01925254813</v>
      </c>
      <c r="J97" s="20">
        <f>'IG Raw Data'!E97</f>
        <v>34</v>
      </c>
      <c r="K97" s="22">
        <f t="shared" si="6"/>
        <v>132.9411765</v>
      </c>
      <c r="L97" s="22">
        <f>'IG Raw Data'!F97</f>
        <v>4520</v>
      </c>
    </row>
    <row r="98">
      <c r="A98" s="11">
        <f>'IG Raw Data'!A98</f>
        <v>45754</v>
      </c>
      <c r="B98" s="14">
        <f t="shared" si="1"/>
        <v>4</v>
      </c>
      <c r="C98" s="16">
        <f>'IG Raw Data'!B98</f>
        <v>77462</v>
      </c>
      <c r="D98" s="17">
        <f t="shared" si="2"/>
        <v>0.02954997289</v>
      </c>
      <c r="E98" s="16">
        <f>'IG Raw Data'!C98</f>
        <v>2289</v>
      </c>
      <c r="F98" s="19">
        <f t="shared" si="3"/>
        <v>1.657492355</v>
      </c>
      <c r="G98" s="19">
        <f t="shared" si="4"/>
        <v>48.97885415</v>
      </c>
      <c r="H98" s="19">
        <f>'IG Raw Data'!D98</f>
        <v>3794</v>
      </c>
      <c r="I98" s="17">
        <f t="shared" si="5"/>
        <v>0.01703800786</v>
      </c>
      <c r="J98" s="20">
        <f>'IG Raw Data'!E98</f>
        <v>39</v>
      </c>
      <c r="K98" s="22">
        <f t="shared" si="6"/>
        <v>155.8717949</v>
      </c>
      <c r="L98" s="22">
        <f>'IG Raw Data'!F98</f>
        <v>6079</v>
      </c>
    </row>
    <row r="99">
      <c r="A99" s="11">
        <f>'IG Raw Data'!A99</f>
        <v>45755</v>
      </c>
      <c r="B99" s="14">
        <f t="shared" si="1"/>
        <v>4</v>
      </c>
      <c r="C99" s="16">
        <f>'IG Raw Data'!B99</f>
        <v>88889</v>
      </c>
      <c r="D99" s="17">
        <f t="shared" si="2"/>
        <v>0.0230399712</v>
      </c>
      <c r="E99" s="16">
        <f>'IG Raw Data'!C99</f>
        <v>2048</v>
      </c>
      <c r="F99" s="19">
        <f t="shared" si="3"/>
        <v>1.735351563</v>
      </c>
      <c r="G99" s="19">
        <f t="shared" si="4"/>
        <v>39.98245002</v>
      </c>
      <c r="H99" s="19">
        <f>'IG Raw Data'!D99</f>
        <v>3554</v>
      </c>
      <c r="I99" s="17">
        <f t="shared" si="5"/>
        <v>0.013671875</v>
      </c>
      <c r="J99" s="20">
        <f>'IG Raw Data'!E99</f>
        <v>28</v>
      </c>
      <c r="K99" s="22">
        <f t="shared" si="6"/>
        <v>209</v>
      </c>
      <c r="L99" s="22">
        <f>'IG Raw Data'!F99</f>
        <v>5852</v>
      </c>
    </row>
    <row r="100">
      <c r="A100" s="11">
        <f>'IG Raw Data'!A100</f>
        <v>45756</v>
      </c>
      <c r="B100" s="14">
        <f t="shared" si="1"/>
        <v>4</v>
      </c>
      <c r="C100" s="16">
        <f>'IG Raw Data'!B100</f>
        <v>52248</v>
      </c>
      <c r="D100" s="17">
        <f t="shared" si="2"/>
        <v>0.01148369316</v>
      </c>
      <c r="E100" s="16">
        <f>'IG Raw Data'!C100</f>
        <v>600</v>
      </c>
      <c r="F100" s="19">
        <f t="shared" si="3"/>
        <v>1.401666667</v>
      </c>
      <c r="G100" s="19">
        <f t="shared" si="4"/>
        <v>16.09630991</v>
      </c>
      <c r="H100" s="19">
        <f>'IG Raw Data'!D100</f>
        <v>841</v>
      </c>
      <c r="I100" s="17">
        <f t="shared" si="5"/>
        <v>0.01833333333</v>
      </c>
      <c r="J100" s="20">
        <f>'IG Raw Data'!E100</f>
        <v>11</v>
      </c>
      <c r="K100" s="22">
        <f t="shared" si="6"/>
        <v>119</v>
      </c>
      <c r="L100" s="22">
        <f>'IG Raw Data'!F100</f>
        <v>1309</v>
      </c>
    </row>
    <row r="101">
      <c r="A101" s="11">
        <f>'IG Raw Data'!A101</f>
        <v>45757</v>
      </c>
      <c r="B101" s="14">
        <f t="shared" si="1"/>
        <v>4</v>
      </c>
      <c r="C101" s="16">
        <f>'IG Raw Data'!B101</f>
        <v>50253</v>
      </c>
      <c r="D101" s="17">
        <f t="shared" si="2"/>
        <v>0.01675521859</v>
      </c>
      <c r="E101" s="16">
        <f>'IG Raw Data'!C101</f>
        <v>842</v>
      </c>
      <c r="F101" s="19">
        <f t="shared" si="3"/>
        <v>1.267220903</v>
      </c>
      <c r="G101" s="19">
        <f t="shared" si="4"/>
        <v>21.23256323</v>
      </c>
      <c r="H101" s="19">
        <f>'IG Raw Data'!D101</f>
        <v>1067</v>
      </c>
      <c r="I101" s="17">
        <f t="shared" si="5"/>
        <v>0.01306413302</v>
      </c>
      <c r="J101" s="20">
        <f>'IG Raw Data'!E101</f>
        <v>11</v>
      </c>
      <c r="K101" s="22">
        <f t="shared" si="6"/>
        <v>145.0909091</v>
      </c>
      <c r="L101" s="22">
        <f>'IG Raw Data'!F101</f>
        <v>1596</v>
      </c>
    </row>
    <row r="102">
      <c r="A102" s="11">
        <f>'IG Raw Data'!A102</f>
        <v>45758</v>
      </c>
      <c r="B102" s="14">
        <f t="shared" si="1"/>
        <v>4</v>
      </c>
      <c r="C102" s="16">
        <f>'IG Raw Data'!B102</f>
        <v>69120</v>
      </c>
      <c r="D102" s="17">
        <f t="shared" si="2"/>
        <v>0.03010706019</v>
      </c>
      <c r="E102" s="16">
        <f>'IG Raw Data'!C102</f>
        <v>2081</v>
      </c>
      <c r="F102" s="19">
        <f t="shared" si="3"/>
        <v>1.202306583</v>
      </c>
      <c r="G102" s="19">
        <f t="shared" si="4"/>
        <v>36.19791667</v>
      </c>
      <c r="H102" s="19">
        <f>'IG Raw Data'!D102</f>
        <v>2502</v>
      </c>
      <c r="I102" s="17">
        <f t="shared" si="5"/>
        <v>0.0172993753</v>
      </c>
      <c r="J102" s="20">
        <f>'IG Raw Data'!E102</f>
        <v>36</v>
      </c>
      <c r="K102" s="22">
        <f t="shared" si="6"/>
        <v>209.3611111</v>
      </c>
      <c r="L102" s="22">
        <f>'IG Raw Data'!F102</f>
        <v>7537</v>
      </c>
    </row>
    <row r="103">
      <c r="A103" s="11">
        <f>'IG Raw Data'!A103</f>
        <v>45759</v>
      </c>
      <c r="B103" s="14">
        <f t="shared" si="1"/>
        <v>4</v>
      </c>
      <c r="C103" s="16">
        <f>'IG Raw Data'!B103</f>
        <v>89518</v>
      </c>
      <c r="D103" s="17">
        <f t="shared" si="2"/>
        <v>0.01943743158</v>
      </c>
      <c r="E103" s="16">
        <f>'IG Raw Data'!C103</f>
        <v>1740</v>
      </c>
      <c r="F103" s="19">
        <f t="shared" si="3"/>
        <v>1.291954023</v>
      </c>
      <c r="G103" s="19">
        <f t="shared" si="4"/>
        <v>25.11226792</v>
      </c>
      <c r="H103" s="19">
        <f>'IG Raw Data'!D103</f>
        <v>2248</v>
      </c>
      <c r="I103" s="17">
        <f t="shared" si="5"/>
        <v>0.01149425287</v>
      </c>
      <c r="J103" s="20">
        <f>'IG Raw Data'!E103</f>
        <v>20</v>
      </c>
      <c r="K103" s="22">
        <f t="shared" si="6"/>
        <v>112.25</v>
      </c>
      <c r="L103" s="22">
        <f>'IG Raw Data'!F103</f>
        <v>2245</v>
      </c>
    </row>
    <row r="104">
      <c r="A104" s="11">
        <f>'IG Raw Data'!A104</f>
        <v>45760</v>
      </c>
      <c r="B104" s="14">
        <f t="shared" si="1"/>
        <v>4</v>
      </c>
      <c r="C104" s="16">
        <f>'IG Raw Data'!B104</f>
        <v>22275</v>
      </c>
      <c r="D104" s="17">
        <f t="shared" si="2"/>
        <v>0.01961840629</v>
      </c>
      <c r="E104" s="16">
        <f>'IG Raw Data'!C104</f>
        <v>437</v>
      </c>
      <c r="F104" s="19">
        <f t="shared" si="3"/>
        <v>1.697940503</v>
      </c>
      <c r="G104" s="19">
        <f t="shared" si="4"/>
        <v>33.31088664</v>
      </c>
      <c r="H104" s="19">
        <f>'IG Raw Data'!D104</f>
        <v>742</v>
      </c>
      <c r="I104" s="17">
        <f t="shared" si="5"/>
        <v>0.01372997712</v>
      </c>
      <c r="J104" s="20">
        <f>'IG Raw Data'!E104</f>
        <v>6</v>
      </c>
      <c r="K104" s="22">
        <f t="shared" si="6"/>
        <v>158.3333333</v>
      </c>
      <c r="L104" s="22">
        <f>'IG Raw Data'!F104</f>
        <v>950</v>
      </c>
    </row>
    <row r="105">
      <c r="A105" s="11">
        <f>'IG Raw Data'!A105</f>
        <v>45761</v>
      </c>
      <c r="B105" s="14">
        <f t="shared" si="1"/>
        <v>4</v>
      </c>
      <c r="C105" s="16">
        <f>'IG Raw Data'!B105</f>
        <v>81832</v>
      </c>
      <c r="D105" s="17">
        <f t="shared" si="2"/>
        <v>0.01339329358</v>
      </c>
      <c r="E105" s="16">
        <f>'IG Raw Data'!C105</f>
        <v>1096</v>
      </c>
      <c r="F105" s="19">
        <f t="shared" si="3"/>
        <v>1.333941606</v>
      </c>
      <c r="G105" s="19">
        <f t="shared" si="4"/>
        <v>17.86587154</v>
      </c>
      <c r="H105" s="19">
        <f>'IG Raw Data'!D105</f>
        <v>1462</v>
      </c>
      <c r="I105" s="17">
        <f t="shared" si="5"/>
        <v>0.01916058394</v>
      </c>
      <c r="J105" s="20">
        <f>'IG Raw Data'!E105</f>
        <v>21</v>
      </c>
      <c r="K105" s="22">
        <f t="shared" si="6"/>
        <v>142.5714286</v>
      </c>
      <c r="L105" s="22">
        <f>'IG Raw Data'!F105</f>
        <v>2994</v>
      </c>
    </row>
    <row r="106">
      <c r="A106" s="11">
        <f>'IG Raw Data'!A106</f>
        <v>45762</v>
      </c>
      <c r="B106" s="14">
        <f t="shared" si="1"/>
        <v>4</v>
      </c>
      <c r="C106" s="16">
        <f>'IG Raw Data'!B106</f>
        <v>93408</v>
      </c>
      <c r="D106" s="17">
        <f t="shared" si="2"/>
        <v>0.01970923261</v>
      </c>
      <c r="E106" s="16">
        <f>'IG Raw Data'!C106</f>
        <v>1841</v>
      </c>
      <c r="F106" s="19">
        <f t="shared" si="3"/>
        <v>2.042911461</v>
      </c>
      <c r="G106" s="19">
        <f t="shared" si="4"/>
        <v>40.2642172</v>
      </c>
      <c r="H106" s="19">
        <f>'IG Raw Data'!D106</f>
        <v>3761</v>
      </c>
      <c r="I106" s="17">
        <f t="shared" si="5"/>
        <v>0.020640956</v>
      </c>
      <c r="J106" s="20">
        <f>'IG Raw Data'!E106</f>
        <v>38</v>
      </c>
      <c r="K106" s="22">
        <f t="shared" si="6"/>
        <v>173.3684211</v>
      </c>
      <c r="L106" s="22">
        <f>'IG Raw Data'!F106</f>
        <v>6588</v>
      </c>
    </row>
    <row r="107">
      <c r="A107" s="11">
        <f>'IG Raw Data'!A107</f>
        <v>45763</v>
      </c>
      <c r="B107" s="14">
        <f t="shared" si="1"/>
        <v>4</v>
      </c>
      <c r="C107" s="16">
        <f>'IG Raw Data'!B107</f>
        <v>23712</v>
      </c>
      <c r="D107" s="17">
        <f t="shared" si="2"/>
        <v>0.01442307692</v>
      </c>
      <c r="E107" s="16">
        <f>'IG Raw Data'!C107</f>
        <v>342</v>
      </c>
      <c r="F107" s="19">
        <f t="shared" si="3"/>
        <v>1.178362573</v>
      </c>
      <c r="G107" s="19">
        <f t="shared" si="4"/>
        <v>16.99561404</v>
      </c>
      <c r="H107" s="19">
        <f>'IG Raw Data'!D107</f>
        <v>403</v>
      </c>
      <c r="I107" s="17">
        <f t="shared" si="5"/>
        <v>0.02339181287</v>
      </c>
      <c r="J107" s="20">
        <f>'IG Raw Data'!E107</f>
        <v>8</v>
      </c>
      <c r="K107" s="22">
        <f t="shared" si="6"/>
        <v>148.5</v>
      </c>
      <c r="L107" s="22">
        <f>'IG Raw Data'!F107</f>
        <v>1188</v>
      </c>
    </row>
    <row r="108">
      <c r="A108" s="11">
        <f>'IG Raw Data'!A108</f>
        <v>45764</v>
      </c>
      <c r="B108" s="14">
        <f t="shared" si="1"/>
        <v>4</v>
      </c>
      <c r="C108" s="16">
        <f>'IG Raw Data'!B108</f>
        <v>82162</v>
      </c>
      <c r="D108" s="17">
        <f t="shared" si="2"/>
        <v>0.01225627419</v>
      </c>
      <c r="E108" s="16">
        <f>'IG Raw Data'!C108</f>
        <v>1007</v>
      </c>
      <c r="F108" s="19">
        <f t="shared" si="3"/>
        <v>1.774577954</v>
      </c>
      <c r="G108" s="19">
        <f t="shared" si="4"/>
        <v>21.74971398</v>
      </c>
      <c r="H108" s="19">
        <f>'IG Raw Data'!D108</f>
        <v>1787</v>
      </c>
      <c r="I108" s="17">
        <f t="shared" si="5"/>
        <v>0.01986097319</v>
      </c>
      <c r="J108" s="20">
        <f>'IG Raw Data'!E108</f>
        <v>20</v>
      </c>
      <c r="K108" s="22">
        <f t="shared" si="6"/>
        <v>171.65</v>
      </c>
      <c r="L108" s="22">
        <f>'IG Raw Data'!F108</f>
        <v>3433</v>
      </c>
    </row>
    <row r="109">
      <c r="A109" s="11">
        <f>'IG Raw Data'!A109</f>
        <v>45765</v>
      </c>
      <c r="B109" s="14">
        <f t="shared" si="1"/>
        <v>4</v>
      </c>
      <c r="C109" s="16">
        <f>'IG Raw Data'!B109</f>
        <v>100916</v>
      </c>
      <c r="D109" s="17">
        <f t="shared" si="2"/>
        <v>0.0195410044</v>
      </c>
      <c r="E109" s="16">
        <f>'IG Raw Data'!C109</f>
        <v>1972</v>
      </c>
      <c r="F109" s="19">
        <f t="shared" si="3"/>
        <v>1.367139959</v>
      </c>
      <c r="G109" s="19">
        <f t="shared" si="4"/>
        <v>26.71528796</v>
      </c>
      <c r="H109" s="19">
        <f>'IG Raw Data'!D109</f>
        <v>2696</v>
      </c>
      <c r="I109" s="17">
        <f t="shared" si="5"/>
        <v>0.0238336714</v>
      </c>
      <c r="J109" s="20">
        <f>'IG Raw Data'!E109</f>
        <v>47</v>
      </c>
      <c r="K109" s="22">
        <f t="shared" si="6"/>
        <v>124.2553191</v>
      </c>
      <c r="L109" s="22">
        <f>'IG Raw Data'!F109</f>
        <v>5840</v>
      </c>
    </row>
    <row r="110">
      <c r="A110" s="11">
        <f>'IG Raw Data'!A110</f>
        <v>45766</v>
      </c>
      <c r="B110" s="14">
        <f t="shared" si="1"/>
        <v>4</v>
      </c>
      <c r="C110" s="16">
        <f>'IG Raw Data'!B110</f>
        <v>20494</v>
      </c>
      <c r="D110" s="17">
        <f t="shared" si="2"/>
        <v>0.02005465014</v>
      </c>
      <c r="E110" s="16">
        <f>'IG Raw Data'!C110</f>
        <v>411</v>
      </c>
      <c r="F110" s="19">
        <f t="shared" si="3"/>
        <v>1.785888078</v>
      </c>
      <c r="G110" s="19">
        <f t="shared" si="4"/>
        <v>35.81536059</v>
      </c>
      <c r="H110" s="19">
        <f>'IG Raw Data'!D110</f>
        <v>734</v>
      </c>
      <c r="I110" s="17">
        <f t="shared" si="5"/>
        <v>0.009732360097</v>
      </c>
      <c r="J110" s="20">
        <f>'IG Raw Data'!E110</f>
        <v>4</v>
      </c>
      <c r="K110" s="22">
        <f t="shared" si="6"/>
        <v>167.25</v>
      </c>
      <c r="L110" s="22">
        <f>'IG Raw Data'!F110</f>
        <v>669</v>
      </c>
    </row>
    <row r="111">
      <c r="A111" s="11">
        <f>'IG Raw Data'!A111</f>
        <v>45767</v>
      </c>
      <c r="B111" s="14">
        <f t="shared" si="1"/>
        <v>4</v>
      </c>
      <c r="C111" s="16">
        <f>'IG Raw Data'!B111</f>
        <v>47284</v>
      </c>
      <c r="D111" s="17">
        <f t="shared" si="2"/>
        <v>0.01495220371</v>
      </c>
      <c r="E111" s="16">
        <f>'IG Raw Data'!C111</f>
        <v>707</v>
      </c>
      <c r="F111" s="19">
        <f t="shared" si="3"/>
        <v>1.82602546</v>
      </c>
      <c r="G111" s="19">
        <f t="shared" si="4"/>
        <v>27.30310464</v>
      </c>
      <c r="H111" s="19">
        <f>'IG Raw Data'!D111</f>
        <v>1291</v>
      </c>
      <c r="I111" s="17">
        <f t="shared" si="5"/>
        <v>0.02263083451</v>
      </c>
      <c r="J111" s="20">
        <f>'IG Raw Data'!E111</f>
        <v>16</v>
      </c>
      <c r="K111" s="22">
        <f t="shared" si="6"/>
        <v>225</v>
      </c>
      <c r="L111" s="22">
        <f>'IG Raw Data'!F111</f>
        <v>3600</v>
      </c>
    </row>
    <row r="112">
      <c r="A112" s="11">
        <f>'IG Raw Data'!A112</f>
        <v>45768</v>
      </c>
      <c r="B112" s="14">
        <f t="shared" si="1"/>
        <v>4</v>
      </c>
      <c r="C112" s="16">
        <f>'IG Raw Data'!B112</f>
        <v>78176</v>
      </c>
      <c r="D112" s="17">
        <f t="shared" si="2"/>
        <v>0.02892191977</v>
      </c>
      <c r="E112" s="16">
        <f>'IG Raw Data'!C112</f>
        <v>2261</v>
      </c>
      <c r="F112" s="19">
        <f t="shared" si="3"/>
        <v>1.442282176</v>
      </c>
      <c r="G112" s="19">
        <f t="shared" si="4"/>
        <v>41.71356938</v>
      </c>
      <c r="H112" s="19">
        <f>'IG Raw Data'!D112</f>
        <v>3261</v>
      </c>
      <c r="I112" s="17">
        <f t="shared" si="5"/>
        <v>0.02476780186</v>
      </c>
      <c r="J112" s="20">
        <f>'IG Raw Data'!E112</f>
        <v>56</v>
      </c>
      <c r="K112" s="22">
        <f t="shared" si="6"/>
        <v>195.6071429</v>
      </c>
      <c r="L112" s="22">
        <f>'IG Raw Data'!F112</f>
        <v>10954</v>
      </c>
    </row>
    <row r="113">
      <c r="A113" s="11">
        <f>'IG Raw Data'!A113</f>
        <v>45769</v>
      </c>
      <c r="B113" s="14">
        <f t="shared" si="1"/>
        <v>4</v>
      </c>
      <c r="C113" s="16">
        <f>'IG Raw Data'!B113</f>
        <v>89388</v>
      </c>
      <c r="D113" s="17">
        <f t="shared" si="2"/>
        <v>0.02145701884</v>
      </c>
      <c r="E113" s="16">
        <f>'IG Raw Data'!C113</f>
        <v>1918</v>
      </c>
      <c r="F113" s="19">
        <f t="shared" si="3"/>
        <v>1.808654849</v>
      </c>
      <c r="G113" s="19">
        <f t="shared" si="4"/>
        <v>38.80834116</v>
      </c>
      <c r="H113" s="19">
        <f>'IG Raw Data'!D113</f>
        <v>3469</v>
      </c>
      <c r="I113" s="17">
        <f t="shared" si="5"/>
        <v>0.01459854015</v>
      </c>
      <c r="J113" s="20">
        <f>'IG Raw Data'!E113</f>
        <v>28</v>
      </c>
      <c r="K113" s="22">
        <f t="shared" si="6"/>
        <v>156.1071429</v>
      </c>
      <c r="L113" s="22">
        <f>'IG Raw Data'!F113</f>
        <v>4371</v>
      </c>
    </row>
    <row r="114">
      <c r="A114" s="11">
        <f>'IG Raw Data'!A114</f>
        <v>45770</v>
      </c>
      <c r="B114" s="14">
        <f t="shared" si="1"/>
        <v>4</v>
      </c>
      <c r="C114" s="16">
        <f>'IG Raw Data'!B114</f>
        <v>77748</v>
      </c>
      <c r="D114" s="17">
        <f t="shared" si="2"/>
        <v>0.0269331687</v>
      </c>
      <c r="E114" s="16">
        <f>'IG Raw Data'!C114</f>
        <v>2094</v>
      </c>
      <c r="F114" s="19">
        <f t="shared" si="3"/>
        <v>1.064947469</v>
      </c>
      <c r="G114" s="19">
        <f t="shared" si="4"/>
        <v>28.68240984</v>
      </c>
      <c r="H114" s="19">
        <f>'IG Raw Data'!D114</f>
        <v>2230</v>
      </c>
      <c r="I114" s="17">
        <f t="shared" si="5"/>
        <v>0.01719197708</v>
      </c>
      <c r="J114" s="20">
        <f>'IG Raw Data'!E114</f>
        <v>36</v>
      </c>
      <c r="K114" s="22">
        <f t="shared" si="6"/>
        <v>180.5833333</v>
      </c>
      <c r="L114" s="22">
        <f>'IG Raw Data'!F114</f>
        <v>6501</v>
      </c>
    </row>
    <row r="115">
      <c r="A115" s="11">
        <f>'IG Raw Data'!A115</f>
        <v>45771</v>
      </c>
      <c r="B115" s="14">
        <f t="shared" si="1"/>
        <v>4</v>
      </c>
      <c r="C115" s="16">
        <f>'IG Raw Data'!B115</f>
        <v>94167</v>
      </c>
      <c r="D115" s="17">
        <f t="shared" si="2"/>
        <v>0.01123535846</v>
      </c>
      <c r="E115" s="16">
        <f>'IG Raw Data'!C115</f>
        <v>1058</v>
      </c>
      <c r="F115" s="19">
        <f t="shared" si="3"/>
        <v>1.889413989</v>
      </c>
      <c r="G115" s="19">
        <f t="shared" si="4"/>
        <v>21.22824344</v>
      </c>
      <c r="H115" s="19">
        <f>'IG Raw Data'!D115</f>
        <v>1999</v>
      </c>
      <c r="I115" s="17">
        <f t="shared" si="5"/>
        <v>0.02268431002</v>
      </c>
      <c r="J115" s="20">
        <f>'IG Raw Data'!E115</f>
        <v>24</v>
      </c>
      <c r="K115" s="22">
        <f t="shared" si="6"/>
        <v>177.7916667</v>
      </c>
      <c r="L115" s="22">
        <f>'IG Raw Data'!F115</f>
        <v>4267</v>
      </c>
    </row>
    <row r="116">
      <c r="A116" s="11">
        <f>'IG Raw Data'!A116</f>
        <v>45772</v>
      </c>
      <c r="B116" s="14">
        <f t="shared" si="1"/>
        <v>4</v>
      </c>
      <c r="C116" s="16">
        <f>'IG Raw Data'!B116</f>
        <v>47093</v>
      </c>
      <c r="D116" s="17">
        <f t="shared" si="2"/>
        <v>0.02282717177</v>
      </c>
      <c r="E116" s="16">
        <f>'IG Raw Data'!C116</f>
        <v>1075</v>
      </c>
      <c r="F116" s="19">
        <f t="shared" si="3"/>
        <v>1.910697674</v>
      </c>
      <c r="G116" s="19">
        <f t="shared" si="4"/>
        <v>43.61582401</v>
      </c>
      <c r="H116" s="19">
        <f>'IG Raw Data'!D116</f>
        <v>2054</v>
      </c>
      <c r="I116" s="17">
        <f t="shared" si="5"/>
        <v>0.0223255814</v>
      </c>
      <c r="J116" s="20">
        <f>'IG Raw Data'!E116</f>
        <v>24</v>
      </c>
      <c r="K116" s="22">
        <f t="shared" si="6"/>
        <v>189.125</v>
      </c>
      <c r="L116" s="22">
        <f>'IG Raw Data'!F116</f>
        <v>4539</v>
      </c>
    </row>
    <row r="117">
      <c r="A117" s="11">
        <f>'IG Raw Data'!A117</f>
        <v>45773</v>
      </c>
      <c r="B117" s="14">
        <f t="shared" si="1"/>
        <v>4</v>
      </c>
      <c r="C117" s="16">
        <f>'IG Raw Data'!B117</f>
        <v>74564</v>
      </c>
      <c r="D117" s="17">
        <f t="shared" si="2"/>
        <v>0.01291507966</v>
      </c>
      <c r="E117" s="16">
        <f>'IG Raw Data'!C117</f>
        <v>963</v>
      </c>
      <c r="F117" s="19">
        <f t="shared" si="3"/>
        <v>1.804776739</v>
      </c>
      <c r="G117" s="19">
        <f t="shared" si="4"/>
        <v>23.30883536</v>
      </c>
      <c r="H117" s="19">
        <f>'IG Raw Data'!D117</f>
        <v>1738</v>
      </c>
      <c r="I117" s="17">
        <f t="shared" si="5"/>
        <v>0.01973001038</v>
      </c>
      <c r="J117" s="20">
        <f>'IG Raw Data'!E117</f>
        <v>19</v>
      </c>
      <c r="K117" s="22">
        <f t="shared" si="6"/>
        <v>189.7894737</v>
      </c>
      <c r="L117" s="22">
        <f>'IG Raw Data'!F117</f>
        <v>3606</v>
      </c>
    </row>
    <row r="118">
      <c r="A118" s="11">
        <f>'IG Raw Data'!A118</f>
        <v>45774</v>
      </c>
      <c r="B118" s="14">
        <f t="shared" si="1"/>
        <v>4</v>
      </c>
      <c r="C118" s="16">
        <f>'IG Raw Data'!B118</f>
        <v>24692</v>
      </c>
      <c r="D118" s="17">
        <f t="shared" si="2"/>
        <v>0.02146444192</v>
      </c>
      <c r="E118" s="16">
        <f>'IG Raw Data'!C118</f>
        <v>530</v>
      </c>
      <c r="F118" s="19">
        <f t="shared" si="3"/>
        <v>2.064150943</v>
      </c>
      <c r="G118" s="19">
        <f t="shared" si="4"/>
        <v>44.30584805</v>
      </c>
      <c r="H118" s="19">
        <f>'IG Raw Data'!D118</f>
        <v>1094</v>
      </c>
      <c r="I118" s="17">
        <f t="shared" si="5"/>
        <v>0.01698113208</v>
      </c>
      <c r="J118" s="20">
        <f>'IG Raw Data'!E118</f>
        <v>9</v>
      </c>
      <c r="K118" s="22">
        <f t="shared" si="6"/>
        <v>136.8888889</v>
      </c>
      <c r="L118" s="22">
        <f>'IG Raw Data'!F118</f>
        <v>1232</v>
      </c>
    </row>
    <row r="119">
      <c r="A119" s="11">
        <f>'IG Raw Data'!A119</f>
        <v>45775</v>
      </c>
      <c r="B119" s="14">
        <f t="shared" si="1"/>
        <v>4</v>
      </c>
      <c r="C119" s="16">
        <f>'IG Raw Data'!B119</f>
        <v>62217</v>
      </c>
      <c r="D119" s="17">
        <f t="shared" si="2"/>
        <v>0.01218316537</v>
      </c>
      <c r="E119" s="16">
        <f>'IG Raw Data'!C119</f>
        <v>758</v>
      </c>
      <c r="F119" s="19">
        <f t="shared" si="3"/>
        <v>1.077836412</v>
      </c>
      <c r="G119" s="19">
        <f t="shared" si="4"/>
        <v>13.13145925</v>
      </c>
      <c r="H119" s="19">
        <f>'IG Raw Data'!D119</f>
        <v>817</v>
      </c>
      <c r="I119" s="17">
        <f t="shared" si="5"/>
        <v>0.01846965699</v>
      </c>
      <c r="J119" s="20">
        <f>'IG Raw Data'!E119</f>
        <v>14</v>
      </c>
      <c r="K119" s="22">
        <f t="shared" si="6"/>
        <v>151.4285714</v>
      </c>
      <c r="L119" s="22">
        <f>'IG Raw Data'!F119</f>
        <v>2120</v>
      </c>
    </row>
    <row r="120">
      <c r="A120" s="11">
        <f>'IG Raw Data'!A120</f>
        <v>45776</v>
      </c>
      <c r="B120" s="14">
        <f t="shared" si="1"/>
        <v>4</v>
      </c>
      <c r="C120" s="16">
        <f>'IG Raw Data'!B120</f>
        <v>43646</v>
      </c>
      <c r="D120" s="17">
        <f t="shared" si="2"/>
        <v>0.01981854007</v>
      </c>
      <c r="E120" s="16">
        <f>'IG Raw Data'!C120</f>
        <v>865</v>
      </c>
      <c r="F120" s="19">
        <f t="shared" si="3"/>
        <v>1.212716763</v>
      </c>
      <c r="G120" s="19">
        <f t="shared" si="4"/>
        <v>24.03427576</v>
      </c>
      <c r="H120" s="19">
        <f>'IG Raw Data'!D120</f>
        <v>1049</v>
      </c>
      <c r="I120" s="17">
        <f t="shared" si="5"/>
        <v>0.01734104046</v>
      </c>
      <c r="J120" s="20">
        <f>'IG Raw Data'!E120</f>
        <v>15</v>
      </c>
      <c r="K120" s="22">
        <f t="shared" si="6"/>
        <v>127.8</v>
      </c>
      <c r="L120" s="22">
        <f>'IG Raw Data'!F120</f>
        <v>1917</v>
      </c>
    </row>
    <row r="121">
      <c r="A121" s="11">
        <f>'IG Raw Data'!A121</f>
        <v>45777</v>
      </c>
      <c r="B121" s="14">
        <f t="shared" si="1"/>
        <v>4</v>
      </c>
      <c r="C121" s="16">
        <f>'IG Raw Data'!B121</f>
        <v>71389</v>
      </c>
      <c r="D121" s="17">
        <f t="shared" si="2"/>
        <v>0.01745366933</v>
      </c>
      <c r="E121" s="16">
        <f>'IG Raw Data'!C121</f>
        <v>1246</v>
      </c>
      <c r="F121" s="19">
        <f t="shared" si="3"/>
        <v>1.784109149</v>
      </c>
      <c r="G121" s="19">
        <f t="shared" si="4"/>
        <v>31.13925115</v>
      </c>
      <c r="H121" s="19">
        <f>'IG Raw Data'!D121</f>
        <v>2223</v>
      </c>
      <c r="I121" s="17">
        <f t="shared" si="5"/>
        <v>0.01926163724</v>
      </c>
      <c r="J121" s="20">
        <f>'IG Raw Data'!E121</f>
        <v>24</v>
      </c>
      <c r="K121" s="22">
        <f t="shared" si="6"/>
        <v>133.1666667</v>
      </c>
      <c r="L121" s="22">
        <f>'IG Raw Data'!F121</f>
        <v>3196</v>
      </c>
    </row>
    <row r="122">
      <c r="A122" s="11">
        <f>'IG Raw Data'!A122</f>
        <v>45778</v>
      </c>
      <c r="B122" s="14">
        <f t="shared" si="1"/>
        <v>5</v>
      </c>
      <c r="C122" s="16">
        <f>'IG Raw Data'!B122</f>
        <v>12921</v>
      </c>
      <c r="D122" s="17">
        <f t="shared" si="2"/>
        <v>0.01826484018</v>
      </c>
      <c r="E122" s="16">
        <f>'IG Raw Data'!C122</f>
        <v>236</v>
      </c>
      <c r="F122" s="19">
        <f t="shared" si="3"/>
        <v>1.288135593</v>
      </c>
      <c r="G122" s="19">
        <f t="shared" si="4"/>
        <v>23.52759074</v>
      </c>
      <c r="H122" s="19">
        <f>'IG Raw Data'!D122</f>
        <v>304</v>
      </c>
      <c r="I122" s="17">
        <f t="shared" si="5"/>
        <v>0.01694915254</v>
      </c>
      <c r="J122" s="20">
        <f>'IG Raw Data'!E122</f>
        <v>4</v>
      </c>
      <c r="K122" s="22">
        <f t="shared" si="6"/>
        <v>134</v>
      </c>
      <c r="L122" s="22">
        <f>'IG Raw Data'!F122</f>
        <v>536</v>
      </c>
    </row>
    <row r="123">
      <c r="A123" s="11">
        <f>'IG Raw Data'!A123</f>
        <v>45779</v>
      </c>
      <c r="B123" s="14">
        <f t="shared" si="1"/>
        <v>5</v>
      </c>
      <c r="C123" s="16">
        <f>'IG Raw Data'!B123</f>
        <v>103581</v>
      </c>
      <c r="D123" s="17">
        <f t="shared" si="2"/>
        <v>0.0129367355</v>
      </c>
      <c r="E123" s="16">
        <f>'IG Raw Data'!C123</f>
        <v>1340</v>
      </c>
      <c r="F123" s="19">
        <f t="shared" si="3"/>
        <v>1.392537313</v>
      </c>
      <c r="G123" s="19">
        <f t="shared" si="4"/>
        <v>18.0148869</v>
      </c>
      <c r="H123" s="19">
        <f>'IG Raw Data'!D123</f>
        <v>1866</v>
      </c>
      <c r="I123" s="17">
        <f t="shared" si="5"/>
        <v>0.01940298507</v>
      </c>
      <c r="J123" s="20">
        <f>'IG Raw Data'!E123</f>
        <v>26</v>
      </c>
      <c r="K123" s="22">
        <f t="shared" si="6"/>
        <v>107.8461538</v>
      </c>
      <c r="L123" s="22">
        <f>'IG Raw Data'!F123</f>
        <v>2804</v>
      </c>
    </row>
    <row r="124">
      <c r="A124" s="11">
        <f>'IG Raw Data'!A124</f>
        <v>45780</v>
      </c>
      <c r="B124" s="14">
        <f t="shared" si="1"/>
        <v>5</v>
      </c>
      <c r="C124" s="16">
        <f>'IG Raw Data'!B124</f>
        <v>54332</v>
      </c>
      <c r="D124" s="17">
        <f t="shared" si="2"/>
        <v>0.02628285357</v>
      </c>
      <c r="E124" s="16">
        <f>'IG Raw Data'!C124</f>
        <v>1428</v>
      </c>
      <c r="F124" s="19">
        <f t="shared" si="3"/>
        <v>1.533613445</v>
      </c>
      <c r="G124" s="19">
        <f t="shared" si="4"/>
        <v>40.30773761</v>
      </c>
      <c r="H124" s="19">
        <f>'IG Raw Data'!D124</f>
        <v>2190</v>
      </c>
      <c r="I124" s="17">
        <f t="shared" si="5"/>
        <v>0.0175070028</v>
      </c>
      <c r="J124" s="20">
        <f>'IG Raw Data'!E124</f>
        <v>25</v>
      </c>
      <c r="K124" s="22">
        <f t="shared" si="6"/>
        <v>128.16</v>
      </c>
      <c r="L124" s="22">
        <f>'IG Raw Data'!F124</f>
        <v>3204</v>
      </c>
    </row>
    <row r="125">
      <c r="A125" s="11">
        <f>'IG Raw Data'!A125</f>
        <v>45781</v>
      </c>
      <c r="B125" s="14">
        <f t="shared" si="1"/>
        <v>5</v>
      </c>
      <c r="C125" s="16">
        <f>'IG Raw Data'!B125</f>
        <v>55120</v>
      </c>
      <c r="D125" s="17">
        <f t="shared" si="2"/>
        <v>0.0257256894</v>
      </c>
      <c r="E125" s="16">
        <f>'IG Raw Data'!C125</f>
        <v>1418</v>
      </c>
      <c r="F125" s="19">
        <f t="shared" si="3"/>
        <v>1.542313117</v>
      </c>
      <c r="G125" s="19">
        <f t="shared" si="4"/>
        <v>39.67706821</v>
      </c>
      <c r="H125" s="19">
        <f>'IG Raw Data'!D125</f>
        <v>2187</v>
      </c>
      <c r="I125" s="17">
        <f t="shared" si="5"/>
        <v>0.02186177715</v>
      </c>
      <c r="J125" s="20">
        <f>'IG Raw Data'!E125</f>
        <v>31</v>
      </c>
      <c r="K125" s="22">
        <f t="shared" si="6"/>
        <v>152.7096774</v>
      </c>
      <c r="L125" s="22">
        <f>'IG Raw Data'!F125</f>
        <v>4734</v>
      </c>
    </row>
    <row r="126">
      <c r="A126" s="11">
        <f>'IG Raw Data'!A126</f>
        <v>45782</v>
      </c>
      <c r="B126" s="14">
        <f t="shared" si="1"/>
        <v>5</v>
      </c>
      <c r="C126" s="16">
        <f>'IG Raw Data'!B126</f>
        <v>96681</v>
      </c>
      <c r="D126" s="17">
        <f t="shared" si="2"/>
        <v>0.01664235993</v>
      </c>
      <c r="E126" s="16">
        <f>'IG Raw Data'!C126</f>
        <v>1609</v>
      </c>
      <c r="F126" s="19">
        <f t="shared" si="3"/>
        <v>1.937849596</v>
      </c>
      <c r="G126" s="19">
        <f t="shared" si="4"/>
        <v>32.25039046</v>
      </c>
      <c r="H126" s="19">
        <f>'IG Raw Data'!D126</f>
        <v>3118</v>
      </c>
      <c r="I126" s="17">
        <f t="shared" si="5"/>
        <v>0.02548166563</v>
      </c>
      <c r="J126" s="20">
        <f>'IG Raw Data'!E126</f>
        <v>41</v>
      </c>
      <c r="K126" s="22">
        <f t="shared" si="6"/>
        <v>161.6341463</v>
      </c>
      <c r="L126" s="22">
        <f>'IG Raw Data'!F126</f>
        <v>6627</v>
      </c>
    </row>
    <row r="127">
      <c r="A127" s="11">
        <f>'IG Raw Data'!A127</f>
        <v>45783</v>
      </c>
      <c r="B127" s="14">
        <f t="shared" si="1"/>
        <v>5</v>
      </c>
      <c r="C127" s="16">
        <f>'IG Raw Data'!B127</f>
        <v>49655</v>
      </c>
      <c r="D127" s="17">
        <f t="shared" si="2"/>
        <v>0.02013895882</v>
      </c>
      <c r="E127" s="16">
        <f>'IG Raw Data'!C127</f>
        <v>1000</v>
      </c>
      <c r="F127" s="19">
        <f t="shared" si="3"/>
        <v>0.967</v>
      </c>
      <c r="G127" s="19">
        <f t="shared" si="4"/>
        <v>19.47437317</v>
      </c>
      <c r="H127" s="19">
        <f>'IG Raw Data'!D127</f>
        <v>967</v>
      </c>
      <c r="I127" s="17">
        <f t="shared" si="5"/>
        <v>0.018</v>
      </c>
      <c r="J127" s="20">
        <f>'IG Raw Data'!E127</f>
        <v>18</v>
      </c>
      <c r="K127" s="22">
        <f t="shared" si="6"/>
        <v>166</v>
      </c>
      <c r="L127" s="22">
        <f>'IG Raw Data'!F127</f>
        <v>2988</v>
      </c>
    </row>
    <row r="128">
      <c r="A128" s="11">
        <f>'IG Raw Data'!A128</f>
        <v>45784</v>
      </c>
      <c r="B128" s="14">
        <f t="shared" si="1"/>
        <v>5</v>
      </c>
      <c r="C128" s="16">
        <f>'IG Raw Data'!B128</f>
        <v>63861</v>
      </c>
      <c r="D128" s="17">
        <f t="shared" si="2"/>
        <v>0.026620316</v>
      </c>
      <c r="E128" s="16">
        <f>'IG Raw Data'!C128</f>
        <v>1700</v>
      </c>
      <c r="F128" s="19">
        <f t="shared" si="3"/>
        <v>2.228235294</v>
      </c>
      <c r="G128" s="19">
        <f t="shared" si="4"/>
        <v>59.31632765</v>
      </c>
      <c r="H128" s="19">
        <f>'IG Raw Data'!D128</f>
        <v>3788</v>
      </c>
      <c r="I128" s="17">
        <f t="shared" si="5"/>
        <v>0.01529411765</v>
      </c>
      <c r="J128" s="20">
        <f>'IG Raw Data'!E128</f>
        <v>26</v>
      </c>
      <c r="K128" s="22">
        <f t="shared" si="6"/>
        <v>104.1153846</v>
      </c>
      <c r="L128" s="22">
        <f>'IG Raw Data'!F128</f>
        <v>2707</v>
      </c>
    </row>
    <row r="129">
      <c r="A129" s="11">
        <f>'IG Raw Data'!A129</f>
        <v>45785</v>
      </c>
      <c r="B129" s="14">
        <f t="shared" si="1"/>
        <v>5</v>
      </c>
      <c r="C129" s="16">
        <f>'IG Raw Data'!B129</f>
        <v>21459</v>
      </c>
      <c r="D129" s="17">
        <f t="shared" si="2"/>
        <v>0.02111002377</v>
      </c>
      <c r="E129" s="16">
        <f>'IG Raw Data'!C129</f>
        <v>453</v>
      </c>
      <c r="F129" s="19">
        <f t="shared" si="3"/>
        <v>1.313465784</v>
      </c>
      <c r="G129" s="19">
        <f t="shared" si="4"/>
        <v>27.72729391</v>
      </c>
      <c r="H129" s="19">
        <f>'IG Raw Data'!D129</f>
        <v>595</v>
      </c>
      <c r="I129" s="17">
        <f t="shared" si="5"/>
        <v>0.01324503311</v>
      </c>
      <c r="J129" s="20">
        <f>'IG Raw Data'!E129</f>
        <v>6</v>
      </c>
      <c r="K129" s="22">
        <f t="shared" si="6"/>
        <v>157.8333333</v>
      </c>
      <c r="L129" s="22">
        <f>'IG Raw Data'!F129</f>
        <v>947</v>
      </c>
    </row>
    <row r="130">
      <c r="A130" s="11">
        <f>'IG Raw Data'!A130</f>
        <v>45786</v>
      </c>
      <c r="B130" s="14">
        <f t="shared" si="1"/>
        <v>5</v>
      </c>
      <c r="C130" s="16">
        <f>'IG Raw Data'!B130</f>
        <v>84694</v>
      </c>
      <c r="D130" s="17">
        <f t="shared" si="2"/>
        <v>0.02459442227</v>
      </c>
      <c r="E130" s="16">
        <f>'IG Raw Data'!C130</f>
        <v>2083</v>
      </c>
      <c r="F130" s="19">
        <f t="shared" si="3"/>
        <v>1.181469035</v>
      </c>
      <c r="G130" s="19">
        <f t="shared" si="4"/>
        <v>29.05754835</v>
      </c>
      <c r="H130" s="19">
        <f>'IG Raw Data'!D130</f>
        <v>2461</v>
      </c>
      <c r="I130" s="17">
        <f t="shared" si="5"/>
        <v>0.02256361018</v>
      </c>
      <c r="J130" s="20">
        <f>'IG Raw Data'!E130</f>
        <v>47</v>
      </c>
      <c r="K130" s="22">
        <f t="shared" si="6"/>
        <v>150.4893617</v>
      </c>
      <c r="L130" s="22">
        <f>'IG Raw Data'!F130</f>
        <v>7073</v>
      </c>
    </row>
    <row r="131">
      <c r="A131" s="11">
        <f>'IG Raw Data'!A131</f>
        <v>45787</v>
      </c>
      <c r="B131" s="14">
        <f t="shared" si="1"/>
        <v>5</v>
      </c>
      <c r="C131" s="16">
        <f>'IG Raw Data'!B131</f>
        <v>67730</v>
      </c>
      <c r="D131" s="17">
        <f t="shared" si="2"/>
        <v>0.03014912151</v>
      </c>
      <c r="E131" s="16">
        <f>'IG Raw Data'!C131</f>
        <v>2042</v>
      </c>
      <c r="F131" s="19">
        <f t="shared" si="3"/>
        <v>1.66993144</v>
      </c>
      <c r="G131" s="19">
        <f t="shared" si="4"/>
        <v>50.34696589</v>
      </c>
      <c r="H131" s="19">
        <f>'IG Raw Data'!D131</f>
        <v>3410</v>
      </c>
      <c r="I131" s="17">
        <f t="shared" si="5"/>
        <v>0.02007835455</v>
      </c>
      <c r="J131" s="20">
        <f>'IG Raw Data'!E131</f>
        <v>41</v>
      </c>
      <c r="K131" s="22">
        <f t="shared" si="6"/>
        <v>144.9512195</v>
      </c>
      <c r="L131" s="22">
        <f>'IG Raw Data'!F131</f>
        <v>5943</v>
      </c>
    </row>
    <row r="132">
      <c r="A132" s="11">
        <f>'IG Raw Data'!A132</f>
        <v>45788</v>
      </c>
      <c r="B132" s="14">
        <f t="shared" si="1"/>
        <v>5</v>
      </c>
      <c r="C132" s="16">
        <f>'IG Raw Data'!B132</f>
        <v>11298</v>
      </c>
      <c r="D132" s="17">
        <f t="shared" si="2"/>
        <v>0.01956098424</v>
      </c>
      <c r="E132" s="16">
        <f>'IG Raw Data'!C132</f>
        <v>221</v>
      </c>
      <c r="F132" s="19">
        <f t="shared" si="3"/>
        <v>2.153846154</v>
      </c>
      <c r="G132" s="19">
        <f t="shared" si="4"/>
        <v>42.13135068</v>
      </c>
      <c r="H132" s="19">
        <f>'IG Raw Data'!D132</f>
        <v>476</v>
      </c>
      <c r="I132" s="17">
        <f t="shared" si="5"/>
        <v>0.01809954751</v>
      </c>
      <c r="J132" s="20">
        <f>'IG Raw Data'!E132</f>
        <v>4</v>
      </c>
      <c r="K132" s="22">
        <f t="shared" si="6"/>
        <v>111.5</v>
      </c>
      <c r="L132" s="22">
        <f>'IG Raw Data'!F132</f>
        <v>446</v>
      </c>
    </row>
    <row r="133">
      <c r="A133" s="11">
        <f>'IG Raw Data'!A133</f>
        <v>45789</v>
      </c>
      <c r="B133" s="14">
        <f t="shared" si="1"/>
        <v>5</v>
      </c>
      <c r="C133" s="16">
        <f>'IG Raw Data'!B133</f>
        <v>29109</v>
      </c>
      <c r="D133" s="17">
        <f t="shared" si="2"/>
        <v>0.02878834725</v>
      </c>
      <c r="E133" s="16">
        <f>'IG Raw Data'!C133</f>
        <v>838</v>
      </c>
      <c r="F133" s="19">
        <f t="shared" si="3"/>
        <v>1.533412888</v>
      </c>
      <c r="G133" s="19">
        <f t="shared" si="4"/>
        <v>44.14442269</v>
      </c>
      <c r="H133" s="19">
        <f>'IG Raw Data'!D133</f>
        <v>1285</v>
      </c>
      <c r="I133" s="17">
        <f t="shared" si="5"/>
        <v>0.01431980907</v>
      </c>
      <c r="J133" s="20">
        <f>'IG Raw Data'!E133</f>
        <v>12</v>
      </c>
      <c r="K133" s="22">
        <f t="shared" si="6"/>
        <v>200.0833333</v>
      </c>
      <c r="L133" s="22">
        <f>'IG Raw Data'!F133</f>
        <v>2401</v>
      </c>
    </row>
    <row r="134">
      <c r="A134" s="11">
        <f>'IG Raw Data'!A134</f>
        <v>45790</v>
      </c>
      <c r="B134" s="14">
        <f t="shared" si="1"/>
        <v>5</v>
      </c>
      <c r="C134" s="16">
        <f>'IG Raw Data'!B134</f>
        <v>44468</v>
      </c>
      <c r="D134" s="17">
        <f t="shared" si="2"/>
        <v>0.01873257174</v>
      </c>
      <c r="E134" s="16">
        <f>'IG Raw Data'!C134</f>
        <v>833</v>
      </c>
      <c r="F134" s="19">
        <f t="shared" si="3"/>
        <v>1.154861945</v>
      </c>
      <c r="G134" s="19">
        <f t="shared" si="4"/>
        <v>21.63353423</v>
      </c>
      <c r="H134" s="19">
        <f>'IG Raw Data'!D134</f>
        <v>962</v>
      </c>
      <c r="I134" s="17">
        <f t="shared" si="5"/>
        <v>0.0156062425</v>
      </c>
      <c r="J134" s="20">
        <f>'IG Raw Data'!E134</f>
        <v>13</v>
      </c>
      <c r="K134" s="22">
        <f t="shared" si="6"/>
        <v>138.6153846</v>
      </c>
      <c r="L134" s="22">
        <f>'IG Raw Data'!F134</f>
        <v>1802</v>
      </c>
    </row>
    <row r="135">
      <c r="A135" s="11">
        <f>'IG Raw Data'!A135</f>
        <v>45791</v>
      </c>
      <c r="B135" s="14">
        <f t="shared" si="1"/>
        <v>5</v>
      </c>
      <c r="C135" s="16">
        <f>'IG Raw Data'!B135</f>
        <v>90661</v>
      </c>
      <c r="D135" s="17">
        <f t="shared" si="2"/>
        <v>0.01669957314</v>
      </c>
      <c r="E135" s="16">
        <f>'IG Raw Data'!C135</f>
        <v>1514</v>
      </c>
      <c r="F135" s="19">
        <f t="shared" si="3"/>
        <v>1.982826948</v>
      </c>
      <c r="G135" s="19">
        <f t="shared" si="4"/>
        <v>33.11236364</v>
      </c>
      <c r="H135" s="19">
        <f>'IG Raw Data'!D135</f>
        <v>3002</v>
      </c>
      <c r="I135" s="17">
        <f t="shared" si="5"/>
        <v>0.01188903567</v>
      </c>
      <c r="J135" s="20">
        <f>'IG Raw Data'!E135</f>
        <v>18</v>
      </c>
      <c r="K135" s="22">
        <f t="shared" si="6"/>
        <v>122.2777778</v>
      </c>
      <c r="L135" s="22">
        <f>'IG Raw Data'!F135</f>
        <v>2201</v>
      </c>
    </row>
    <row r="136">
      <c r="A136" s="11">
        <f>'IG Raw Data'!A136</f>
        <v>45792</v>
      </c>
      <c r="B136" s="14">
        <f t="shared" si="1"/>
        <v>5</v>
      </c>
      <c r="C136" s="16">
        <f>'IG Raw Data'!B136</f>
        <v>16417</v>
      </c>
      <c r="D136" s="17">
        <f t="shared" si="2"/>
        <v>0.02284217579</v>
      </c>
      <c r="E136" s="16">
        <f>'IG Raw Data'!C136</f>
        <v>375</v>
      </c>
      <c r="F136" s="19">
        <f t="shared" si="3"/>
        <v>0.9013333333</v>
      </c>
      <c r="G136" s="19">
        <f t="shared" si="4"/>
        <v>20.58841445</v>
      </c>
      <c r="H136" s="19">
        <f>'IG Raw Data'!D136</f>
        <v>338</v>
      </c>
      <c r="I136" s="17">
        <f t="shared" si="5"/>
        <v>0.01866666667</v>
      </c>
      <c r="J136" s="20">
        <f>'IG Raw Data'!E136</f>
        <v>7</v>
      </c>
      <c r="K136" s="22">
        <f t="shared" si="6"/>
        <v>139.5714286</v>
      </c>
      <c r="L136" s="22">
        <f>'IG Raw Data'!F136</f>
        <v>977</v>
      </c>
    </row>
    <row r="137">
      <c r="A137" s="11">
        <f>'IG Raw Data'!A137</f>
        <v>45793</v>
      </c>
      <c r="B137" s="14">
        <f t="shared" si="1"/>
        <v>5</v>
      </c>
      <c r="C137" s="16">
        <f>'IG Raw Data'!B137</f>
        <v>58031</v>
      </c>
      <c r="D137" s="17">
        <f t="shared" si="2"/>
        <v>0.02021333425</v>
      </c>
      <c r="E137" s="16">
        <f>'IG Raw Data'!C137</f>
        <v>1173</v>
      </c>
      <c r="F137" s="19">
        <f t="shared" si="3"/>
        <v>1.15771526</v>
      </c>
      <c r="G137" s="19">
        <f t="shared" si="4"/>
        <v>23.40128552</v>
      </c>
      <c r="H137" s="19">
        <f>'IG Raw Data'!D137</f>
        <v>1358</v>
      </c>
      <c r="I137" s="17">
        <f t="shared" si="5"/>
        <v>0.02557544757</v>
      </c>
      <c r="J137" s="20">
        <f>'IG Raw Data'!E137</f>
        <v>30</v>
      </c>
      <c r="K137" s="22">
        <f t="shared" si="6"/>
        <v>167.8666667</v>
      </c>
      <c r="L137" s="22">
        <f>'IG Raw Data'!F137</f>
        <v>5036</v>
      </c>
    </row>
    <row r="138">
      <c r="A138" s="11">
        <f>'IG Raw Data'!A138</f>
        <v>45794</v>
      </c>
      <c r="B138" s="14">
        <f t="shared" si="1"/>
        <v>5</v>
      </c>
      <c r="C138" s="16">
        <f>'IG Raw Data'!B138</f>
        <v>47140</v>
      </c>
      <c r="D138" s="17">
        <f t="shared" si="2"/>
        <v>0.01938905388</v>
      </c>
      <c r="E138" s="16">
        <f>'IG Raw Data'!C138</f>
        <v>914</v>
      </c>
      <c r="F138" s="19">
        <f t="shared" si="3"/>
        <v>1.310722101</v>
      </c>
      <c r="G138" s="19">
        <f t="shared" si="4"/>
        <v>25.41366143</v>
      </c>
      <c r="H138" s="19">
        <f>'IG Raw Data'!D138</f>
        <v>1198</v>
      </c>
      <c r="I138" s="17">
        <f t="shared" si="5"/>
        <v>0.01641137856</v>
      </c>
      <c r="J138" s="20">
        <f>'IG Raw Data'!E138</f>
        <v>15</v>
      </c>
      <c r="K138" s="22">
        <f t="shared" si="6"/>
        <v>140.5333333</v>
      </c>
      <c r="L138" s="22">
        <f>'IG Raw Data'!F138</f>
        <v>2108</v>
      </c>
    </row>
    <row r="139">
      <c r="A139" s="11">
        <f>'IG Raw Data'!A139</f>
        <v>45795</v>
      </c>
      <c r="B139" s="14">
        <f t="shared" si="1"/>
        <v>5</v>
      </c>
      <c r="C139" s="16">
        <f>'IG Raw Data'!B139</f>
        <v>90411</v>
      </c>
      <c r="D139" s="17">
        <f t="shared" si="2"/>
        <v>0.0150202962</v>
      </c>
      <c r="E139" s="16">
        <f>'IG Raw Data'!C139</f>
        <v>1358</v>
      </c>
      <c r="F139" s="19">
        <f t="shared" si="3"/>
        <v>1.702503682</v>
      </c>
      <c r="G139" s="19">
        <f t="shared" si="4"/>
        <v>25.57210959</v>
      </c>
      <c r="H139" s="19">
        <f>'IG Raw Data'!D139</f>
        <v>2312</v>
      </c>
      <c r="I139" s="17">
        <f t="shared" si="5"/>
        <v>0.02577319588</v>
      </c>
      <c r="J139" s="20">
        <f>'IG Raw Data'!E139</f>
        <v>35</v>
      </c>
      <c r="K139" s="22">
        <f t="shared" si="6"/>
        <v>152.4285714</v>
      </c>
      <c r="L139" s="22">
        <f>'IG Raw Data'!F139</f>
        <v>5335</v>
      </c>
    </row>
    <row r="140">
      <c r="A140" s="11">
        <f>'IG Raw Data'!A140</f>
        <v>45796</v>
      </c>
      <c r="B140" s="14">
        <f t="shared" si="1"/>
        <v>5</v>
      </c>
      <c r="C140" s="16">
        <f>'IG Raw Data'!B140</f>
        <v>66203</v>
      </c>
      <c r="D140" s="17">
        <f t="shared" si="2"/>
        <v>0.0284126097</v>
      </c>
      <c r="E140" s="16">
        <f>'IG Raw Data'!C140</f>
        <v>1881</v>
      </c>
      <c r="F140" s="19">
        <f t="shared" si="3"/>
        <v>1.376927166</v>
      </c>
      <c r="G140" s="19">
        <f t="shared" si="4"/>
        <v>39.12209416</v>
      </c>
      <c r="H140" s="19">
        <f>'IG Raw Data'!D140</f>
        <v>2590</v>
      </c>
      <c r="I140" s="17">
        <f t="shared" si="5"/>
        <v>0.02286018075</v>
      </c>
      <c r="J140" s="20">
        <f>'IG Raw Data'!E140</f>
        <v>43</v>
      </c>
      <c r="K140" s="22">
        <f t="shared" si="6"/>
        <v>161.4651163</v>
      </c>
      <c r="L140" s="22">
        <f>'IG Raw Data'!F140</f>
        <v>6943</v>
      </c>
    </row>
    <row r="141">
      <c r="A141" s="11">
        <f>'IG Raw Data'!A141</f>
        <v>45797</v>
      </c>
      <c r="B141" s="14">
        <f t="shared" si="1"/>
        <v>5</v>
      </c>
      <c r="C141" s="16">
        <f>'IG Raw Data'!B141</f>
        <v>76395</v>
      </c>
      <c r="D141" s="17">
        <f t="shared" si="2"/>
        <v>0.01095621441</v>
      </c>
      <c r="E141" s="16">
        <f>'IG Raw Data'!C141</f>
        <v>837</v>
      </c>
      <c r="F141" s="19">
        <f t="shared" si="3"/>
        <v>1.207885305</v>
      </c>
      <c r="G141" s="19">
        <f t="shared" si="4"/>
        <v>13.23385038</v>
      </c>
      <c r="H141" s="19">
        <f>'IG Raw Data'!D141</f>
        <v>1011</v>
      </c>
      <c r="I141" s="17">
        <f t="shared" si="5"/>
        <v>0.0119474313</v>
      </c>
      <c r="J141" s="20">
        <f>'IG Raw Data'!E141</f>
        <v>10</v>
      </c>
      <c r="K141" s="22">
        <f t="shared" si="6"/>
        <v>118.1</v>
      </c>
      <c r="L141" s="22">
        <f>'IG Raw Data'!F141</f>
        <v>1181</v>
      </c>
    </row>
    <row r="142">
      <c r="A142" s="11">
        <f>'IG Raw Data'!A142</f>
        <v>45798</v>
      </c>
      <c r="B142" s="14">
        <f t="shared" si="1"/>
        <v>5</v>
      </c>
      <c r="C142" s="16">
        <f>'IG Raw Data'!B142</f>
        <v>91812</v>
      </c>
      <c r="D142" s="17">
        <f t="shared" si="2"/>
        <v>0.01251470396</v>
      </c>
      <c r="E142" s="16">
        <f>'IG Raw Data'!C142</f>
        <v>1149</v>
      </c>
      <c r="F142" s="19">
        <f t="shared" si="3"/>
        <v>1.46562228</v>
      </c>
      <c r="G142" s="19">
        <f t="shared" si="4"/>
        <v>18.34182895</v>
      </c>
      <c r="H142" s="19">
        <f>'IG Raw Data'!D142</f>
        <v>1684</v>
      </c>
      <c r="I142" s="17">
        <f t="shared" si="5"/>
        <v>0.02349869452</v>
      </c>
      <c r="J142" s="20">
        <f>'IG Raw Data'!E142</f>
        <v>27</v>
      </c>
      <c r="K142" s="22">
        <f t="shared" si="6"/>
        <v>184.4074074</v>
      </c>
      <c r="L142" s="22">
        <f>'IG Raw Data'!F142</f>
        <v>4979</v>
      </c>
    </row>
    <row r="143">
      <c r="A143" s="11">
        <f>'IG Raw Data'!A143</f>
        <v>45799</v>
      </c>
      <c r="B143" s="14">
        <f t="shared" si="1"/>
        <v>5</v>
      </c>
      <c r="C143" s="16">
        <f>'IG Raw Data'!B143</f>
        <v>58771</v>
      </c>
      <c r="D143" s="17">
        <f t="shared" si="2"/>
        <v>0.01043031427</v>
      </c>
      <c r="E143" s="16">
        <f>'IG Raw Data'!C143</f>
        <v>613</v>
      </c>
      <c r="F143" s="19">
        <f t="shared" si="3"/>
        <v>2.003262643</v>
      </c>
      <c r="G143" s="19">
        <f t="shared" si="4"/>
        <v>20.89465893</v>
      </c>
      <c r="H143" s="19">
        <f>'IG Raw Data'!D143</f>
        <v>1228</v>
      </c>
      <c r="I143" s="17">
        <f t="shared" si="5"/>
        <v>0.02446982055</v>
      </c>
      <c r="J143" s="20">
        <f>'IG Raw Data'!E143</f>
        <v>15</v>
      </c>
      <c r="K143" s="22">
        <f t="shared" si="6"/>
        <v>140.2</v>
      </c>
      <c r="L143" s="22">
        <f>'IG Raw Data'!F143</f>
        <v>2103</v>
      </c>
    </row>
    <row r="144">
      <c r="A144" s="11">
        <f>'IG Raw Data'!A144</f>
        <v>45800</v>
      </c>
      <c r="B144" s="14">
        <f t="shared" si="1"/>
        <v>5</v>
      </c>
      <c r="C144" s="16">
        <f>'IG Raw Data'!B144</f>
        <v>75641</v>
      </c>
      <c r="D144" s="17">
        <f t="shared" si="2"/>
        <v>0.01386814029</v>
      </c>
      <c r="E144" s="16">
        <f>'IG Raw Data'!C144</f>
        <v>1049</v>
      </c>
      <c r="F144" s="19">
        <f t="shared" si="3"/>
        <v>1.732125834</v>
      </c>
      <c r="G144" s="19">
        <f t="shared" si="4"/>
        <v>24.02136408</v>
      </c>
      <c r="H144" s="19">
        <f>'IG Raw Data'!D144</f>
        <v>1817</v>
      </c>
      <c r="I144" s="17">
        <f t="shared" si="5"/>
        <v>0.01715919924</v>
      </c>
      <c r="J144" s="20">
        <f>'IG Raw Data'!E144</f>
        <v>18</v>
      </c>
      <c r="K144" s="22">
        <f t="shared" si="6"/>
        <v>172.2222222</v>
      </c>
      <c r="L144" s="22">
        <f>'IG Raw Data'!F144</f>
        <v>3100</v>
      </c>
    </row>
    <row r="145">
      <c r="A145" s="11">
        <f>'IG Raw Data'!A145</f>
        <v>45801</v>
      </c>
      <c r="B145" s="14">
        <f t="shared" si="1"/>
        <v>5</v>
      </c>
      <c r="C145" s="16">
        <f>'IG Raw Data'!B145</f>
        <v>92985</v>
      </c>
      <c r="D145" s="17">
        <f t="shared" si="2"/>
        <v>0.01078668602</v>
      </c>
      <c r="E145" s="16">
        <f>'IG Raw Data'!C145</f>
        <v>1003</v>
      </c>
      <c r="F145" s="19">
        <f t="shared" si="3"/>
        <v>1.607178465</v>
      </c>
      <c r="G145" s="19">
        <f t="shared" si="4"/>
        <v>17.33612948</v>
      </c>
      <c r="H145" s="19">
        <f>'IG Raw Data'!D145</f>
        <v>1612</v>
      </c>
      <c r="I145" s="17">
        <f t="shared" si="5"/>
        <v>0.01694915254</v>
      </c>
      <c r="J145" s="20">
        <f>'IG Raw Data'!E145</f>
        <v>17</v>
      </c>
      <c r="K145" s="22">
        <f t="shared" si="6"/>
        <v>155.7058824</v>
      </c>
      <c r="L145" s="22">
        <f>'IG Raw Data'!F145</f>
        <v>2647</v>
      </c>
    </row>
    <row r="146">
      <c r="A146" s="11">
        <f>'IG Raw Data'!A146</f>
        <v>45802</v>
      </c>
      <c r="B146" s="14">
        <f t="shared" si="1"/>
        <v>5</v>
      </c>
      <c r="C146" s="16">
        <f>'IG Raw Data'!B146</f>
        <v>66186</v>
      </c>
      <c r="D146" s="17">
        <f t="shared" si="2"/>
        <v>0.0258060617</v>
      </c>
      <c r="E146" s="16">
        <f>'IG Raw Data'!C146</f>
        <v>1708</v>
      </c>
      <c r="F146" s="19">
        <f t="shared" si="3"/>
        <v>2.092505855</v>
      </c>
      <c r="G146" s="19">
        <f t="shared" si="4"/>
        <v>53.99933521</v>
      </c>
      <c r="H146" s="19">
        <f>'IG Raw Data'!D146</f>
        <v>3574</v>
      </c>
      <c r="I146" s="17">
        <f t="shared" si="5"/>
        <v>0.01405152225</v>
      </c>
      <c r="J146" s="20">
        <f>'IG Raw Data'!E146</f>
        <v>24</v>
      </c>
      <c r="K146" s="22">
        <f t="shared" si="6"/>
        <v>142.75</v>
      </c>
      <c r="L146" s="22">
        <f>'IG Raw Data'!F146</f>
        <v>3426</v>
      </c>
    </row>
    <row r="147">
      <c r="A147" s="11">
        <f>'IG Raw Data'!A147</f>
        <v>45803</v>
      </c>
      <c r="B147" s="14">
        <f t="shared" si="1"/>
        <v>5</v>
      </c>
      <c r="C147" s="16">
        <f>'IG Raw Data'!B147</f>
        <v>78687</v>
      </c>
      <c r="D147" s="17">
        <f t="shared" si="2"/>
        <v>0.02676426856</v>
      </c>
      <c r="E147" s="16">
        <f>'IG Raw Data'!C147</f>
        <v>2106</v>
      </c>
      <c r="F147" s="19">
        <f t="shared" si="3"/>
        <v>1.715574549</v>
      </c>
      <c r="G147" s="19">
        <f t="shared" si="4"/>
        <v>45.91609796</v>
      </c>
      <c r="H147" s="19">
        <f>'IG Raw Data'!D147</f>
        <v>3613</v>
      </c>
      <c r="I147" s="17">
        <f t="shared" si="5"/>
        <v>0.02041785375</v>
      </c>
      <c r="J147" s="20">
        <f>'IG Raw Data'!E147</f>
        <v>43</v>
      </c>
      <c r="K147" s="22">
        <f t="shared" si="6"/>
        <v>158.7209302</v>
      </c>
      <c r="L147" s="22">
        <f>'IG Raw Data'!F147</f>
        <v>6825</v>
      </c>
    </row>
    <row r="148">
      <c r="A148" s="11">
        <f>'IG Raw Data'!A148</f>
        <v>45804</v>
      </c>
      <c r="B148" s="14">
        <f t="shared" si="1"/>
        <v>5</v>
      </c>
      <c r="C148" s="16">
        <f>'IG Raw Data'!B148</f>
        <v>30424</v>
      </c>
      <c r="D148" s="17">
        <f t="shared" si="2"/>
        <v>0.0231724954</v>
      </c>
      <c r="E148" s="16">
        <f>'IG Raw Data'!C148</f>
        <v>705</v>
      </c>
      <c r="F148" s="19">
        <f t="shared" si="3"/>
        <v>1.394326241</v>
      </c>
      <c r="G148" s="19">
        <f t="shared" si="4"/>
        <v>32.31001841</v>
      </c>
      <c r="H148" s="19">
        <f>'IG Raw Data'!D148</f>
        <v>983</v>
      </c>
      <c r="I148" s="17">
        <f t="shared" si="5"/>
        <v>0.01418439716</v>
      </c>
      <c r="J148" s="20">
        <f>'IG Raw Data'!E148</f>
        <v>10</v>
      </c>
      <c r="K148" s="22">
        <f t="shared" si="6"/>
        <v>182.5</v>
      </c>
      <c r="L148" s="22">
        <f>'IG Raw Data'!F148</f>
        <v>1825</v>
      </c>
    </row>
    <row r="149">
      <c r="A149" s="11">
        <f>'IG Raw Data'!A149</f>
        <v>45805</v>
      </c>
      <c r="B149" s="14">
        <f t="shared" si="1"/>
        <v>5</v>
      </c>
      <c r="C149" s="16">
        <f>'IG Raw Data'!B149</f>
        <v>70366</v>
      </c>
      <c r="D149" s="17">
        <f t="shared" si="2"/>
        <v>0.03133615667</v>
      </c>
      <c r="E149" s="16">
        <f>'IG Raw Data'!C149</f>
        <v>2205</v>
      </c>
      <c r="F149" s="19">
        <f t="shared" si="3"/>
        <v>1.554195011</v>
      </c>
      <c r="G149" s="19">
        <f t="shared" si="4"/>
        <v>48.70249837</v>
      </c>
      <c r="H149" s="19">
        <f>'IG Raw Data'!D149</f>
        <v>3427</v>
      </c>
      <c r="I149" s="17">
        <f t="shared" si="5"/>
        <v>0.02040816327</v>
      </c>
      <c r="J149" s="20">
        <f>'IG Raw Data'!E149</f>
        <v>45</v>
      </c>
      <c r="K149" s="22">
        <f t="shared" si="6"/>
        <v>176.5555556</v>
      </c>
      <c r="L149" s="22">
        <f>'IG Raw Data'!F149</f>
        <v>7945</v>
      </c>
    </row>
    <row r="150">
      <c r="A150" s="11">
        <f>'IG Raw Data'!A150</f>
        <v>45806</v>
      </c>
      <c r="B150" s="14">
        <f t="shared" si="1"/>
        <v>5</v>
      </c>
      <c r="C150" s="16">
        <f>'IG Raw Data'!B150</f>
        <v>62817</v>
      </c>
      <c r="D150" s="17">
        <f t="shared" si="2"/>
        <v>0.01838674244</v>
      </c>
      <c r="E150" s="16">
        <f>'IG Raw Data'!C150</f>
        <v>1155</v>
      </c>
      <c r="F150" s="19">
        <f t="shared" si="3"/>
        <v>1.135064935</v>
      </c>
      <c r="G150" s="19">
        <f t="shared" si="4"/>
        <v>20.87014662</v>
      </c>
      <c r="H150" s="19">
        <f>'IG Raw Data'!D150</f>
        <v>1311</v>
      </c>
      <c r="I150" s="17">
        <f t="shared" si="5"/>
        <v>0.02424242424</v>
      </c>
      <c r="J150" s="20">
        <f>'IG Raw Data'!E150</f>
        <v>28</v>
      </c>
      <c r="K150" s="22">
        <f t="shared" si="6"/>
        <v>127.3928571</v>
      </c>
      <c r="L150" s="22">
        <f>'IG Raw Data'!F150</f>
        <v>3567</v>
      </c>
    </row>
    <row r="151">
      <c r="A151" s="11">
        <f>'IG Raw Data'!A151</f>
        <v>45807</v>
      </c>
      <c r="B151" s="14">
        <f t="shared" si="1"/>
        <v>5</v>
      </c>
      <c r="C151" s="16">
        <f>'IG Raw Data'!B151</f>
        <v>38503</v>
      </c>
      <c r="D151" s="17">
        <f t="shared" si="2"/>
        <v>0.02875100642</v>
      </c>
      <c r="E151" s="16">
        <f>'IG Raw Data'!C151</f>
        <v>1107</v>
      </c>
      <c r="F151" s="19">
        <f t="shared" si="3"/>
        <v>2.03432701</v>
      </c>
      <c r="G151" s="19">
        <f t="shared" si="4"/>
        <v>58.48894891</v>
      </c>
      <c r="H151" s="19">
        <f>'IG Raw Data'!D151</f>
        <v>2252</v>
      </c>
      <c r="I151" s="17">
        <f t="shared" si="5"/>
        <v>0.01716350497</v>
      </c>
      <c r="J151" s="20">
        <f>'IG Raw Data'!E151</f>
        <v>19</v>
      </c>
      <c r="K151" s="22">
        <f t="shared" si="6"/>
        <v>200.8421053</v>
      </c>
      <c r="L151" s="22">
        <f>'IG Raw Data'!F151</f>
        <v>3816</v>
      </c>
    </row>
    <row r="152">
      <c r="A152" s="11">
        <f>'IG Raw Data'!A152</f>
        <v>45808</v>
      </c>
      <c r="B152" s="14">
        <f t="shared" si="1"/>
        <v>5</v>
      </c>
      <c r="C152" s="16">
        <f>'IG Raw Data'!B152</f>
        <v>22102</v>
      </c>
      <c r="D152" s="17">
        <f t="shared" si="2"/>
        <v>0.01515699937</v>
      </c>
      <c r="E152" s="16">
        <f>'IG Raw Data'!C152</f>
        <v>335</v>
      </c>
      <c r="F152" s="19">
        <f t="shared" si="3"/>
        <v>1.280597015</v>
      </c>
      <c r="G152" s="19">
        <f t="shared" si="4"/>
        <v>19.41000814</v>
      </c>
      <c r="H152" s="19">
        <f>'IG Raw Data'!D152</f>
        <v>429</v>
      </c>
      <c r="I152" s="17">
        <f t="shared" si="5"/>
        <v>0.01194029851</v>
      </c>
      <c r="J152" s="20">
        <f>'IG Raw Data'!E152</f>
        <v>4</v>
      </c>
      <c r="K152" s="22">
        <f t="shared" si="6"/>
        <v>175.25</v>
      </c>
      <c r="L152" s="22">
        <f>'IG Raw Data'!F152</f>
        <v>701</v>
      </c>
    </row>
    <row r="153">
      <c r="A153" s="11">
        <f>'IG Raw Data'!A153</f>
        <v>45809</v>
      </c>
      <c r="B153" s="14">
        <f t="shared" si="1"/>
        <v>6</v>
      </c>
      <c r="C153" s="16">
        <f>'IG Raw Data'!B153</f>
        <v>50120</v>
      </c>
      <c r="D153" s="17">
        <f t="shared" si="2"/>
        <v>0.02569832402</v>
      </c>
      <c r="E153" s="16">
        <f>'IG Raw Data'!C153</f>
        <v>1288</v>
      </c>
      <c r="F153" s="19">
        <f t="shared" si="3"/>
        <v>0.9868012422</v>
      </c>
      <c r="G153" s="19">
        <f t="shared" si="4"/>
        <v>25.35913807</v>
      </c>
      <c r="H153" s="19">
        <f>'IG Raw Data'!D153</f>
        <v>1271</v>
      </c>
      <c r="I153" s="17">
        <f t="shared" si="5"/>
        <v>0.01630434783</v>
      </c>
      <c r="J153" s="20">
        <f>'IG Raw Data'!E153</f>
        <v>21</v>
      </c>
      <c r="K153" s="22">
        <f t="shared" si="6"/>
        <v>135.047619</v>
      </c>
      <c r="L153" s="22">
        <f>'IG Raw Data'!F153</f>
        <v>2836</v>
      </c>
    </row>
    <row r="154">
      <c r="A154" s="11">
        <f>'IG Raw Data'!A154</f>
        <v>45810</v>
      </c>
      <c r="B154" s="14">
        <f t="shared" si="1"/>
        <v>6</v>
      </c>
      <c r="C154" s="16">
        <f>'IG Raw Data'!B154</f>
        <v>93058</v>
      </c>
      <c r="D154" s="17">
        <f t="shared" si="2"/>
        <v>0.01809624105</v>
      </c>
      <c r="E154" s="16">
        <f>'IG Raw Data'!C154</f>
        <v>1684</v>
      </c>
      <c r="F154" s="19">
        <f t="shared" si="3"/>
        <v>1.967339667</v>
      </c>
      <c r="G154" s="19">
        <f t="shared" si="4"/>
        <v>35.60145286</v>
      </c>
      <c r="H154" s="19">
        <f>'IG Raw Data'!D154</f>
        <v>3313</v>
      </c>
      <c r="I154" s="17">
        <f t="shared" si="5"/>
        <v>0.02375296912</v>
      </c>
      <c r="J154" s="20">
        <f>'IG Raw Data'!E154</f>
        <v>40</v>
      </c>
      <c r="K154" s="22">
        <f t="shared" si="6"/>
        <v>100</v>
      </c>
      <c r="L154" s="22">
        <f>'IG Raw Data'!F154</f>
        <v>4000</v>
      </c>
    </row>
    <row r="155">
      <c r="A155" s="11">
        <f>'IG Raw Data'!A155</f>
        <v>45811</v>
      </c>
      <c r="B155" s="14">
        <f t="shared" si="1"/>
        <v>6</v>
      </c>
      <c r="C155" s="16">
        <f>'IG Raw Data'!B155</f>
        <v>25134</v>
      </c>
      <c r="D155" s="17">
        <f t="shared" si="2"/>
        <v>0.02299673749</v>
      </c>
      <c r="E155" s="16">
        <f>'IG Raw Data'!C155</f>
        <v>578</v>
      </c>
      <c r="F155" s="19">
        <f t="shared" si="3"/>
        <v>1.844290657</v>
      </c>
      <c r="G155" s="19">
        <f t="shared" si="4"/>
        <v>42.4126681</v>
      </c>
      <c r="H155" s="19">
        <f>'IG Raw Data'!D155</f>
        <v>1066</v>
      </c>
      <c r="I155" s="17">
        <f t="shared" si="5"/>
        <v>0.02249134948</v>
      </c>
      <c r="J155" s="20">
        <f>'IG Raw Data'!E155</f>
        <v>13</v>
      </c>
      <c r="K155" s="22">
        <f t="shared" si="6"/>
        <v>191.6923077</v>
      </c>
      <c r="L155" s="22">
        <f>'IG Raw Data'!F155</f>
        <v>2492</v>
      </c>
    </row>
    <row r="156">
      <c r="A156" s="11">
        <f>'IG Raw Data'!A156</f>
        <v>45812</v>
      </c>
      <c r="B156" s="14">
        <f t="shared" si="1"/>
        <v>6</v>
      </c>
      <c r="C156" s="16">
        <f>'IG Raw Data'!B156</f>
        <v>54615</v>
      </c>
      <c r="D156" s="17">
        <f t="shared" si="2"/>
        <v>0.02036070677</v>
      </c>
      <c r="E156" s="16">
        <f>'IG Raw Data'!C156</f>
        <v>1112</v>
      </c>
      <c r="F156" s="19">
        <f t="shared" si="3"/>
        <v>1.696043165</v>
      </c>
      <c r="G156" s="19">
        <f t="shared" si="4"/>
        <v>34.53263755</v>
      </c>
      <c r="H156" s="19">
        <f>'IG Raw Data'!D156</f>
        <v>1886</v>
      </c>
      <c r="I156" s="17">
        <f t="shared" si="5"/>
        <v>0.02697841727</v>
      </c>
      <c r="J156" s="20">
        <f>'IG Raw Data'!E156</f>
        <v>30</v>
      </c>
      <c r="K156" s="22">
        <f t="shared" si="6"/>
        <v>109.1</v>
      </c>
      <c r="L156" s="22">
        <f>'IG Raw Data'!F156</f>
        <v>3273</v>
      </c>
    </row>
    <row r="157">
      <c r="A157" s="11">
        <f>'IG Raw Data'!A157</f>
        <v>45813</v>
      </c>
      <c r="B157" s="14">
        <f t="shared" si="1"/>
        <v>6</v>
      </c>
      <c r="C157" s="16">
        <f>'IG Raw Data'!B157</f>
        <v>62835</v>
      </c>
      <c r="D157" s="17">
        <f t="shared" si="2"/>
        <v>0.02958542214</v>
      </c>
      <c r="E157" s="16">
        <f>'IG Raw Data'!C157</f>
        <v>1859</v>
      </c>
      <c r="F157" s="19">
        <f t="shared" si="3"/>
        <v>1.132329209</v>
      </c>
      <c r="G157" s="19">
        <f t="shared" si="4"/>
        <v>33.50043765</v>
      </c>
      <c r="H157" s="19">
        <f>'IG Raw Data'!D157</f>
        <v>2105</v>
      </c>
      <c r="I157" s="17">
        <f t="shared" si="5"/>
        <v>0.02097902098</v>
      </c>
      <c r="J157" s="20">
        <f>'IG Raw Data'!E157</f>
        <v>39</v>
      </c>
      <c r="K157" s="22">
        <f t="shared" si="6"/>
        <v>132.9230769</v>
      </c>
      <c r="L157" s="22">
        <f>'IG Raw Data'!F157</f>
        <v>5184</v>
      </c>
    </row>
    <row r="158">
      <c r="A158" s="11">
        <f>'IG Raw Data'!A158</f>
        <v>45814</v>
      </c>
      <c r="B158" s="14">
        <f t="shared" si="1"/>
        <v>6</v>
      </c>
      <c r="C158" s="16">
        <f>'IG Raw Data'!B158</f>
        <v>76734</v>
      </c>
      <c r="D158" s="17">
        <f t="shared" si="2"/>
        <v>0.01602940027</v>
      </c>
      <c r="E158" s="16">
        <f>'IG Raw Data'!C158</f>
        <v>1230</v>
      </c>
      <c r="F158" s="19">
        <f t="shared" si="3"/>
        <v>1.982926829</v>
      </c>
      <c r="G158" s="19">
        <f t="shared" si="4"/>
        <v>31.78512784</v>
      </c>
      <c r="H158" s="19">
        <f>'IG Raw Data'!D158</f>
        <v>2439</v>
      </c>
      <c r="I158" s="17">
        <f t="shared" si="5"/>
        <v>0.02195121951</v>
      </c>
      <c r="J158" s="20">
        <f>'IG Raw Data'!E158</f>
        <v>27</v>
      </c>
      <c r="K158" s="22">
        <f t="shared" si="6"/>
        <v>115.3703704</v>
      </c>
      <c r="L158" s="22">
        <f>'IG Raw Data'!F158</f>
        <v>3115</v>
      </c>
    </row>
    <row r="159">
      <c r="A159" s="11">
        <f>'IG Raw Data'!A159</f>
        <v>45815</v>
      </c>
      <c r="B159" s="14">
        <f t="shared" si="1"/>
        <v>6</v>
      </c>
      <c r="C159" s="16">
        <f>'IG Raw Data'!B159</f>
        <v>71613</v>
      </c>
      <c r="D159" s="17">
        <f t="shared" si="2"/>
        <v>0.02136483599</v>
      </c>
      <c r="E159" s="16">
        <f>'IG Raw Data'!C159</f>
        <v>1530</v>
      </c>
      <c r="F159" s="19">
        <f t="shared" si="3"/>
        <v>1.314379085</v>
      </c>
      <c r="G159" s="19">
        <f t="shared" si="4"/>
        <v>28.08149358</v>
      </c>
      <c r="H159" s="19">
        <f>'IG Raw Data'!D159</f>
        <v>2011</v>
      </c>
      <c r="I159" s="17">
        <f t="shared" si="5"/>
        <v>0.02222222222</v>
      </c>
      <c r="J159" s="20">
        <f>'IG Raw Data'!E159</f>
        <v>34</v>
      </c>
      <c r="K159" s="22">
        <f t="shared" si="6"/>
        <v>204.9117647</v>
      </c>
      <c r="L159" s="22">
        <f>'IG Raw Data'!F159</f>
        <v>6967</v>
      </c>
    </row>
    <row r="160">
      <c r="A160" s="11">
        <f>'IG Raw Data'!A160</f>
        <v>45816</v>
      </c>
      <c r="B160" s="14">
        <f t="shared" si="1"/>
        <v>6</v>
      </c>
      <c r="C160" s="16">
        <f>'IG Raw Data'!B160</f>
        <v>91004</v>
      </c>
      <c r="D160" s="17">
        <f t="shared" si="2"/>
        <v>0.02211990682</v>
      </c>
      <c r="E160" s="16">
        <f>'IG Raw Data'!C160</f>
        <v>2013</v>
      </c>
      <c r="F160" s="19">
        <f t="shared" si="3"/>
        <v>1.271733731</v>
      </c>
      <c r="G160" s="19">
        <f t="shared" si="4"/>
        <v>28.13063162</v>
      </c>
      <c r="H160" s="19">
        <f>'IG Raw Data'!D160</f>
        <v>2560</v>
      </c>
      <c r="I160" s="17">
        <f t="shared" si="5"/>
        <v>0.01589667163</v>
      </c>
      <c r="J160" s="20">
        <f>'IG Raw Data'!E160</f>
        <v>32</v>
      </c>
      <c r="K160" s="22">
        <f t="shared" si="6"/>
        <v>224.625</v>
      </c>
      <c r="L160" s="22">
        <f>'IG Raw Data'!F160</f>
        <v>7188</v>
      </c>
    </row>
    <row r="161">
      <c r="A161" s="11">
        <f>'IG Raw Data'!A161</f>
        <v>45817</v>
      </c>
      <c r="B161" s="14">
        <f t="shared" si="1"/>
        <v>6</v>
      </c>
      <c r="C161" s="16">
        <f>'IG Raw Data'!B161</f>
        <v>43271</v>
      </c>
      <c r="D161" s="17">
        <f t="shared" si="2"/>
        <v>0.01395854036</v>
      </c>
      <c r="E161" s="16">
        <f>'IG Raw Data'!C161</f>
        <v>604</v>
      </c>
      <c r="F161" s="19">
        <f t="shared" si="3"/>
        <v>1.594370861</v>
      </c>
      <c r="G161" s="19">
        <f t="shared" si="4"/>
        <v>22.25509001</v>
      </c>
      <c r="H161" s="19">
        <f>'IG Raw Data'!D161</f>
        <v>963</v>
      </c>
      <c r="I161" s="17">
        <f t="shared" si="5"/>
        <v>0.01324503311</v>
      </c>
      <c r="J161" s="20">
        <f>'IG Raw Data'!E161</f>
        <v>8</v>
      </c>
      <c r="K161" s="22">
        <f t="shared" si="6"/>
        <v>134.875</v>
      </c>
      <c r="L161" s="22">
        <f>'IG Raw Data'!F161</f>
        <v>1079</v>
      </c>
    </row>
    <row r="162">
      <c r="A162" s="11">
        <f>'IG Raw Data'!A162</f>
        <v>45818</v>
      </c>
      <c r="B162" s="14">
        <f t="shared" si="1"/>
        <v>6</v>
      </c>
      <c r="C162" s="16">
        <f>'IG Raw Data'!B162</f>
        <v>82193</v>
      </c>
      <c r="D162" s="17">
        <f t="shared" si="2"/>
        <v>0.03013638631</v>
      </c>
      <c r="E162" s="16">
        <f>'IG Raw Data'!C162</f>
        <v>2477</v>
      </c>
      <c r="F162" s="19">
        <f t="shared" si="3"/>
        <v>1.083972547</v>
      </c>
      <c r="G162" s="19">
        <f t="shared" si="4"/>
        <v>32.66701544</v>
      </c>
      <c r="H162" s="19">
        <f>'IG Raw Data'!D162</f>
        <v>2685</v>
      </c>
      <c r="I162" s="17">
        <f t="shared" si="5"/>
        <v>0.01251513928</v>
      </c>
      <c r="J162" s="20">
        <f>'IG Raw Data'!E162</f>
        <v>31</v>
      </c>
      <c r="K162" s="22">
        <f t="shared" si="6"/>
        <v>125.6451613</v>
      </c>
      <c r="L162" s="22">
        <f>'IG Raw Data'!F162</f>
        <v>3895</v>
      </c>
    </row>
    <row r="163">
      <c r="A163" s="11">
        <f>'IG Raw Data'!A163</f>
        <v>45819</v>
      </c>
      <c r="B163" s="14">
        <f t="shared" si="1"/>
        <v>6</v>
      </c>
      <c r="C163" s="16">
        <f>'IG Raw Data'!B163</f>
        <v>94018</v>
      </c>
      <c r="D163" s="17">
        <f t="shared" si="2"/>
        <v>0.01239124423</v>
      </c>
      <c r="E163" s="16">
        <f>'IG Raw Data'!C163</f>
        <v>1165</v>
      </c>
      <c r="F163" s="19">
        <f t="shared" si="3"/>
        <v>1.298712446</v>
      </c>
      <c r="G163" s="19">
        <f t="shared" si="4"/>
        <v>16.09266311</v>
      </c>
      <c r="H163" s="19">
        <f>'IG Raw Data'!D163</f>
        <v>1513</v>
      </c>
      <c r="I163" s="17">
        <f t="shared" si="5"/>
        <v>0.01201716738</v>
      </c>
      <c r="J163" s="20">
        <f>'IG Raw Data'!E163</f>
        <v>14</v>
      </c>
      <c r="K163" s="22">
        <f t="shared" si="6"/>
        <v>194.7857143</v>
      </c>
      <c r="L163" s="22">
        <f>'IG Raw Data'!F163</f>
        <v>2727</v>
      </c>
    </row>
    <row r="164">
      <c r="A164" s="11">
        <f>'IG Raw Data'!A164</f>
        <v>45820</v>
      </c>
      <c r="B164" s="14">
        <f t="shared" si="1"/>
        <v>6</v>
      </c>
      <c r="C164" s="16">
        <f>'IG Raw Data'!B164</f>
        <v>18365</v>
      </c>
      <c r="D164" s="17">
        <f t="shared" si="2"/>
        <v>0.02178056085</v>
      </c>
      <c r="E164" s="16">
        <f>'IG Raw Data'!C164</f>
        <v>400</v>
      </c>
      <c r="F164" s="19">
        <f t="shared" si="3"/>
        <v>1.195</v>
      </c>
      <c r="G164" s="19">
        <f t="shared" si="4"/>
        <v>26.02777022</v>
      </c>
      <c r="H164" s="19">
        <f>'IG Raw Data'!D164</f>
        <v>478</v>
      </c>
      <c r="I164" s="17">
        <f t="shared" si="5"/>
        <v>0.02</v>
      </c>
      <c r="J164" s="20">
        <f>'IG Raw Data'!E164</f>
        <v>8</v>
      </c>
      <c r="K164" s="22">
        <f t="shared" si="6"/>
        <v>202</v>
      </c>
      <c r="L164" s="22">
        <f>'IG Raw Data'!F164</f>
        <v>1616</v>
      </c>
    </row>
    <row r="165">
      <c r="A165" s="11">
        <f>'IG Raw Data'!A165</f>
        <v>45821</v>
      </c>
      <c r="B165" s="14">
        <f t="shared" si="1"/>
        <v>6</v>
      </c>
      <c r="C165" s="16">
        <f>'IG Raw Data'!B165</f>
        <v>40263</v>
      </c>
      <c r="D165" s="17">
        <f t="shared" si="2"/>
        <v>0.03027593572</v>
      </c>
      <c r="E165" s="16">
        <f>'IG Raw Data'!C165</f>
        <v>1219</v>
      </c>
      <c r="F165" s="19">
        <f t="shared" si="3"/>
        <v>2.150943396</v>
      </c>
      <c r="G165" s="19">
        <f t="shared" si="4"/>
        <v>65.12182401</v>
      </c>
      <c r="H165" s="19">
        <f>'IG Raw Data'!D165</f>
        <v>2622</v>
      </c>
      <c r="I165" s="17">
        <f t="shared" si="5"/>
        <v>0.02461033634</v>
      </c>
      <c r="J165" s="20">
        <f>'IG Raw Data'!E165</f>
        <v>30</v>
      </c>
      <c r="K165" s="22">
        <f t="shared" si="6"/>
        <v>168.5333333</v>
      </c>
      <c r="L165" s="22">
        <f>'IG Raw Data'!F165</f>
        <v>5056</v>
      </c>
    </row>
    <row r="166">
      <c r="A166" s="11">
        <f>'IG Raw Data'!A166</f>
        <v>45822</v>
      </c>
      <c r="B166" s="14">
        <f t="shared" si="1"/>
        <v>6</v>
      </c>
      <c r="C166" s="16">
        <f>'IG Raw Data'!B166</f>
        <v>63312</v>
      </c>
      <c r="D166" s="17">
        <f t="shared" si="2"/>
        <v>0.01803765479</v>
      </c>
      <c r="E166" s="16">
        <f>'IG Raw Data'!C166</f>
        <v>1142</v>
      </c>
      <c r="F166" s="19">
        <f t="shared" si="3"/>
        <v>1.340630473</v>
      </c>
      <c r="G166" s="19">
        <f t="shared" si="4"/>
        <v>24.18182967</v>
      </c>
      <c r="H166" s="19">
        <f>'IG Raw Data'!D166</f>
        <v>1531</v>
      </c>
      <c r="I166" s="17">
        <f t="shared" si="5"/>
        <v>0.01926444834</v>
      </c>
      <c r="J166" s="20">
        <f>'IG Raw Data'!E166</f>
        <v>22</v>
      </c>
      <c r="K166" s="22">
        <f t="shared" si="6"/>
        <v>172.5</v>
      </c>
      <c r="L166" s="22">
        <f>'IG Raw Data'!F166</f>
        <v>3795</v>
      </c>
    </row>
    <row r="167">
      <c r="A167" s="11">
        <f>'IG Raw Data'!A167</f>
        <v>45823</v>
      </c>
      <c r="B167" s="14">
        <f t="shared" si="1"/>
        <v>6</v>
      </c>
      <c r="C167" s="16">
        <f>'IG Raw Data'!B167</f>
        <v>77585</v>
      </c>
      <c r="D167" s="17">
        <f t="shared" si="2"/>
        <v>0.02740220403</v>
      </c>
      <c r="E167" s="16">
        <f>'IG Raw Data'!C167</f>
        <v>2126</v>
      </c>
      <c r="F167" s="19">
        <f t="shared" si="3"/>
        <v>1.259642521</v>
      </c>
      <c r="G167" s="19">
        <f t="shared" si="4"/>
        <v>34.51698138</v>
      </c>
      <c r="H167" s="19">
        <f>'IG Raw Data'!D167</f>
        <v>2678</v>
      </c>
      <c r="I167" s="17">
        <f t="shared" si="5"/>
        <v>0.02539981185</v>
      </c>
      <c r="J167" s="20">
        <f>'IG Raw Data'!E167</f>
        <v>54</v>
      </c>
      <c r="K167" s="22">
        <f t="shared" si="6"/>
        <v>174.0740741</v>
      </c>
      <c r="L167" s="22">
        <f>'IG Raw Data'!F167</f>
        <v>9400</v>
      </c>
    </row>
    <row r="168">
      <c r="A168" s="11">
        <f>'IG Raw Data'!A168</f>
        <v>45824</v>
      </c>
      <c r="B168" s="14">
        <f t="shared" si="1"/>
        <v>6</v>
      </c>
      <c r="C168" s="16">
        <f>'IG Raw Data'!B168</f>
        <v>87900</v>
      </c>
      <c r="D168" s="17">
        <f t="shared" si="2"/>
        <v>0.02879408419</v>
      </c>
      <c r="E168" s="16">
        <f>'IG Raw Data'!C168</f>
        <v>2531</v>
      </c>
      <c r="F168" s="19">
        <f t="shared" si="3"/>
        <v>1.867246148</v>
      </c>
      <c r="G168" s="19">
        <f t="shared" si="4"/>
        <v>53.76564278</v>
      </c>
      <c r="H168" s="19">
        <f>'IG Raw Data'!D168</f>
        <v>4726</v>
      </c>
      <c r="I168" s="17">
        <f t="shared" si="5"/>
        <v>0.01817463453</v>
      </c>
      <c r="J168" s="20">
        <f>'IG Raw Data'!E168</f>
        <v>46</v>
      </c>
      <c r="K168" s="22">
        <f t="shared" si="6"/>
        <v>148.1086957</v>
      </c>
      <c r="L168" s="22">
        <f>'IG Raw Data'!F168</f>
        <v>6813</v>
      </c>
    </row>
    <row r="169">
      <c r="A169" s="11">
        <f>'IG Raw Data'!A169</f>
        <v>45825</v>
      </c>
      <c r="B169" s="14">
        <f t="shared" si="1"/>
        <v>6</v>
      </c>
      <c r="C169" s="16">
        <f>'IG Raw Data'!B169</f>
        <v>30114</v>
      </c>
      <c r="D169" s="17">
        <f t="shared" si="2"/>
        <v>0.01530849439</v>
      </c>
      <c r="E169" s="16">
        <f>'IG Raw Data'!C169</f>
        <v>461</v>
      </c>
      <c r="F169" s="19">
        <f t="shared" si="3"/>
        <v>1.496746204</v>
      </c>
      <c r="G169" s="19">
        <f t="shared" si="4"/>
        <v>22.91293086</v>
      </c>
      <c r="H169" s="19">
        <f>'IG Raw Data'!D169</f>
        <v>690</v>
      </c>
      <c r="I169" s="17">
        <f t="shared" si="5"/>
        <v>0.01518438178</v>
      </c>
      <c r="J169" s="20">
        <f>'IG Raw Data'!E169</f>
        <v>7</v>
      </c>
      <c r="K169" s="22">
        <f t="shared" si="6"/>
        <v>157.8571429</v>
      </c>
      <c r="L169" s="22">
        <f>'IG Raw Data'!F169</f>
        <v>1105</v>
      </c>
    </row>
    <row r="170">
      <c r="A170" s="11">
        <f>'IG Raw Data'!A170</f>
        <v>45826</v>
      </c>
      <c r="B170" s="14">
        <f t="shared" si="1"/>
        <v>6</v>
      </c>
      <c r="C170" s="16">
        <f>'IG Raw Data'!B170</f>
        <v>30566</v>
      </c>
      <c r="D170" s="17">
        <f t="shared" si="2"/>
        <v>0.01102532225</v>
      </c>
      <c r="E170" s="16">
        <f>'IG Raw Data'!C170</f>
        <v>337</v>
      </c>
      <c r="F170" s="19">
        <f t="shared" si="3"/>
        <v>2.163204748</v>
      </c>
      <c r="G170" s="19">
        <f t="shared" si="4"/>
        <v>23.85002944</v>
      </c>
      <c r="H170" s="19">
        <f>'IG Raw Data'!D170</f>
        <v>729</v>
      </c>
      <c r="I170" s="17">
        <f t="shared" si="5"/>
        <v>0.0178041543</v>
      </c>
      <c r="J170" s="20">
        <f>'IG Raw Data'!E170</f>
        <v>6</v>
      </c>
      <c r="K170" s="22">
        <f t="shared" si="6"/>
        <v>159.1666667</v>
      </c>
      <c r="L170" s="22">
        <f>'IG Raw Data'!F170</f>
        <v>955</v>
      </c>
    </row>
    <row r="171">
      <c r="A171" s="11">
        <f>'IG Raw Data'!A171</f>
        <v>45827</v>
      </c>
      <c r="B171" s="14">
        <f t="shared" si="1"/>
        <v>6</v>
      </c>
      <c r="C171" s="16">
        <f>'IG Raw Data'!B171</f>
        <v>43028</v>
      </c>
      <c r="D171" s="17">
        <f t="shared" si="2"/>
        <v>0.02661057916</v>
      </c>
      <c r="E171" s="16">
        <f>'IG Raw Data'!C171</f>
        <v>1145</v>
      </c>
      <c r="F171" s="19">
        <f t="shared" si="3"/>
        <v>1.142358079</v>
      </c>
      <c r="G171" s="19">
        <f t="shared" si="4"/>
        <v>30.39881008</v>
      </c>
      <c r="H171" s="19">
        <f>'IG Raw Data'!D171</f>
        <v>1308</v>
      </c>
      <c r="I171" s="17">
        <f t="shared" si="5"/>
        <v>0.01397379913</v>
      </c>
      <c r="J171" s="20">
        <f>'IG Raw Data'!E171</f>
        <v>16</v>
      </c>
      <c r="K171" s="22">
        <f t="shared" si="6"/>
        <v>185.1875</v>
      </c>
      <c r="L171" s="22">
        <f>'IG Raw Data'!F171</f>
        <v>2963</v>
      </c>
    </row>
    <row r="172">
      <c r="A172" s="11">
        <f>'IG Raw Data'!A172</f>
        <v>45828</v>
      </c>
      <c r="B172" s="14">
        <f t="shared" si="1"/>
        <v>6</v>
      </c>
      <c r="C172" s="16">
        <f>'IG Raw Data'!B172</f>
        <v>58773</v>
      </c>
      <c r="D172" s="17">
        <f t="shared" si="2"/>
        <v>0.02182975176</v>
      </c>
      <c r="E172" s="16">
        <f>'IG Raw Data'!C172</f>
        <v>1283</v>
      </c>
      <c r="F172" s="19">
        <f t="shared" si="3"/>
        <v>1.815276695</v>
      </c>
      <c r="G172" s="19">
        <f t="shared" si="4"/>
        <v>39.62703963</v>
      </c>
      <c r="H172" s="19">
        <f>'IG Raw Data'!D172</f>
        <v>2329</v>
      </c>
      <c r="I172" s="17">
        <f t="shared" si="5"/>
        <v>0.02650038971</v>
      </c>
      <c r="J172" s="20">
        <f>'IG Raw Data'!E172</f>
        <v>34</v>
      </c>
      <c r="K172" s="22">
        <f t="shared" si="6"/>
        <v>178.9705882</v>
      </c>
      <c r="L172" s="22">
        <f>'IG Raw Data'!F172</f>
        <v>6085</v>
      </c>
    </row>
    <row r="173">
      <c r="A173" s="11">
        <f>'IG Raw Data'!A173</f>
        <v>45829</v>
      </c>
      <c r="B173" s="14">
        <f t="shared" si="1"/>
        <v>6</v>
      </c>
      <c r="C173" s="16">
        <f>'IG Raw Data'!B173</f>
        <v>72129</v>
      </c>
      <c r="D173" s="17">
        <f t="shared" si="2"/>
        <v>0.02989088993</v>
      </c>
      <c r="E173" s="16">
        <f>'IG Raw Data'!C173</f>
        <v>2156</v>
      </c>
      <c r="F173" s="19">
        <f t="shared" si="3"/>
        <v>1.522263451</v>
      </c>
      <c r="G173" s="19">
        <f t="shared" si="4"/>
        <v>45.50180926</v>
      </c>
      <c r="H173" s="19">
        <f>'IG Raw Data'!D173</f>
        <v>3282</v>
      </c>
      <c r="I173" s="17">
        <f t="shared" si="5"/>
        <v>0.0185528757</v>
      </c>
      <c r="J173" s="20">
        <f>'IG Raw Data'!E173</f>
        <v>40</v>
      </c>
      <c r="K173" s="22">
        <f t="shared" si="6"/>
        <v>172.6</v>
      </c>
      <c r="L173" s="22">
        <f>'IG Raw Data'!F173</f>
        <v>6904</v>
      </c>
    </row>
    <row r="174">
      <c r="A174" s="11">
        <f>'IG Raw Data'!A174</f>
        <v>45830</v>
      </c>
      <c r="B174" s="14">
        <f t="shared" si="1"/>
        <v>6</v>
      </c>
      <c r="C174" s="16">
        <f>'IG Raw Data'!B174</f>
        <v>82176</v>
      </c>
      <c r="D174" s="17">
        <f t="shared" si="2"/>
        <v>0.0277331581</v>
      </c>
      <c r="E174" s="16">
        <f>'IG Raw Data'!C174</f>
        <v>2279</v>
      </c>
      <c r="F174" s="19">
        <f t="shared" si="3"/>
        <v>1.790258885</v>
      </c>
      <c r="G174" s="19">
        <f t="shared" si="4"/>
        <v>49.64953271</v>
      </c>
      <c r="H174" s="19">
        <f>'IG Raw Data'!D174</f>
        <v>4080</v>
      </c>
      <c r="I174" s="17">
        <f t="shared" si="5"/>
        <v>0.0175515577</v>
      </c>
      <c r="J174" s="20">
        <f>'IG Raw Data'!E174</f>
        <v>40</v>
      </c>
      <c r="K174" s="22">
        <f t="shared" si="6"/>
        <v>151.95</v>
      </c>
      <c r="L174" s="22">
        <f>'IG Raw Data'!F174</f>
        <v>6078</v>
      </c>
    </row>
    <row r="175">
      <c r="A175" s="11">
        <f>'IG Raw Data'!A175</f>
        <v>45831</v>
      </c>
      <c r="B175" s="14">
        <f t="shared" si="1"/>
        <v>6</v>
      </c>
      <c r="C175" s="16">
        <f>'IG Raw Data'!B175</f>
        <v>65342</v>
      </c>
      <c r="D175" s="17">
        <f t="shared" si="2"/>
        <v>0.01466132044</v>
      </c>
      <c r="E175" s="16">
        <f>'IG Raw Data'!C175</f>
        <v>958</v>
      </c>
      <c r="F175" s="19">
        <f t="shared" si="3"/>
        <v>2.021920668</v>
      </c>
      <c r="G175" s="19">
        <f t="shared" si="4"/>
        <v>29.64402681</v>
      </c>
      <c r="H175" s="19">
        <f>'IG Raw Data'!D175</f>
        <v>1937</v>
      </c>
      <c r="I175" s="17">
        <f t="shared" si="5"/>
        <v>0.02192066806</v>
      </c>
      <c r="J175" s="20">
        <f>'IG Raw Data'!E175</f>
        <v>21</v>
      </c>
      <c r="K175" s="22">
        <f t="shared" si="6"/>
        <v>167.6190476</v>
      </c>
      <c r="L175" s="22">
        <f>'IG Raw Data'!F175</f>
        <v>3520</v>
      </c>
    </row>
    <row r="176">
      <c r="A176" s="11">
        <f>'IG Raw Data'!A176</f>
        <v>45832</v>
      </c>
      <c r="B176" s="14">
        <f t="shared" si="1"/>
        <v>6</v>
      </c>
      <c r="C176" s="16">
        <f>'IG Raw Data'!B176</f>
        <v>65538</v>
      </c>
      <c r="D176" s="17">
        <f t="shared" si="2"/>
        <v>0.01263389179</v>
      </c>
      <c r="E176" s="16">
        <f>'IG Raw Data'!C176</f>
        <v>828</v>
      </c>
      <c r="F176" s="19">
        <f t="shared" si="3"/>
        <v>1.760869565</v>
      </c>
      <c r="G176" s="19">
        <f t="shared" si="4"/>
        <v>22.24663554</v>
      </c>
      <c r="H176" s="19">
        <f>'IG Raw Data'!D176</f>
        <v>1458</v>
      </c>
      <c r="I176" s="17">
        <f t="shared" si="5"/>
        <v>0.02053140097</v>
      </c>
      <c r="J176" s="20">
        <f>'IG Raw Data'!E176</f>
        <v>17</v>
      </c>
      <c r="K176" s="22">
        <f t="shared" si="6"/>
        <v>131.9411765</v>
      </c>
      <c r="L176" s="22">
        <f>'IG Raw Data'!F176</f>
        <v>2243</v>
      </c>
    </row>
    <row r="177">
      <c r="A177" s="11">
        <f>'IG Raw Data'!A177</f>
        <v>45833</v>
      </c>
      <c r="B177" s="14">
        <f t="shared" si="1"/>
        <v>6</v>
      </c>
      <c r="C177" s="16">
        <f>'IG Raw Data'!B177</f>
        <v>30692</v>
      </c>
      <c r="D177" s="17">
        <f t="shared" si="2"/>
        <v>0.01580216343</v>
      </c>
      <c r="E177" s="16">
        <f>'IG Raw Data'!C177</f>
        <v>485</v>
      </c>
      <c r="F177" s="19">
        <f t="shared" si="3"/>
        <v>1.278350515</v>
      </c>
      <c r="G177" s="19">
        <f t="shared" si="4"/>
        <v>20.20070377</v>
      </c>
      <c r="H177" s="19">
        <f>'IG Raw Data'!D177</f>
        <v>620</v>
      </c>
      <c r="I177" s="17">
        <f t="shared" si="5"/>
        <v>0.01649484536</v>
      </c>
      <c r="J177" s="20">
        <f>'IG Raw Data'!E177</f>
        <v>8</v>
      </c>
      <c r="K177" s="22">
        <f t="shared" si="6"/>
        <v>202</v>
      </c>
      <c r="L177" s="22">
        <f>'IG Raw Data'!F177</f>
        <v>1616</v>
      </c>
    </row>
    <row r="178">
      <c r="A178" s="11">
        <f>'IG Raw Data'!A178</f>
        <v>45834</v>
      </c>
      <c r="B178" s="14">
        <f t="shared" si="1"/>
        <v>6</v>
      </c>
      <c r="C178" s="16">
        <f>'IG Raw Data'!B178</f>
        <v>74313</v>
      </c>
      <c r="D178" s="17">
        <f t="shared" si="2"/>
        <v>0.01667272213</v>
      </c>
      <c r="E178" s="16">
        <f>'IG Raw Data'!C178</f>
        <v>1239</v>
      </c>
      <c r="F178" s="19">
        <f t="shared" si="3"/>
        <v>1.676351897</v>
      </c>
      <c r="G178" s="19">
        <f t="shared" si="4"/>
        <v>27.94934937</v>
      </c>
      <c r="H178" s="19">
        <f>'IG Raw Data'!D178</f>
        <v>2077</v>
      </c>
      <c r="I178" s="17">
        <f t="shared" si="5"/>
        <v>0.02259887006</v>
      </c>
      <c r="J178" s="20">
        <f>'IG Raw Data'!E178</f>
        <v>28</v>
      </c>
      <c r="K178" s="22">
        <f t="shared" si="6"/>
        <v>165.7857143</v>
      </c>
      <c r="L178" s="22">
        <f>'IG Raw Data'!F178</f>
        <v>4642</v>
      </c>
    </row>
    <row r="179">
      <c r="A179" s="11">
        <f>'IG Raw Data'!A179</f>
        <v>45835</v>
      </c>
      <c r="B179" s="14">
        <f t="shared" si="1"/>
        <v>6</v>
      </c>
      <c r="C179" s="16">
        <f>'IG Raw Data'!B179</f>
        <v>27726</v>
      </c>
      <c r="D179" s="17">
        <f t="shared" si="2"/>
        <v>0.0257159345</v>
      </c>
      <c r="E179" s="16">
        <f>'IG Raw Data'!C179</f>
        <v>713</v>
      </c>
      <c r="F179" s="19">
        <f t="shared" si="3"/>
        <v>1.997194951</v>
      </c>
      <c r="G179" s="19">
        <f t="shared" si="4"/>
        <v>51.35973455</v>
      </c>
      <c r="H179" s="19">
        <f>'IG Raw Data'!D179</f>
        <v>1424</v>
      </c>
      <c r="I179" s="17">
        <f t="shared" si="5"/>
        <v>0.02103786816</v>
      </c>
      <c r="J179" s="20">
        <f>'IG Raw Data'!E179</f>
        <v>15</v>
      </c>
      <c r="K179" s="22">
        <f t="shared" si="6"/>
        <v>147.8</v>
      </c>
      <c r="L179" s="22">
        <f>'IG Raw Data'!F179</f>
        <v>2217</v>
      </c>
    </row>
    <row r="180">
      <c r="A180" s="11">
        <f>'IG Raw Data'!A180</f>
        <v>45836</v>
      </c>
      <c r="B180" s="14">
        <f t="shared" si="1"/>
        <v>6</v>
      </c>
      <c r="C180" s="16">
        <f>'IG Raw Data'!B180</f>
        <v>23031</v>
      </c>
      <c r="D180" s="17">
        <f t="shared" si="2"/>
        <v>0.02071121532</v>
      </c>
      <c r="E180" s="16">
        <f>'IG Raw Data'!C180</f>
        <v>477</v>
      </c>
      <c r="F180" s="19">
        <f t="shared" si="3"/>
        <v>1.811320755</v>
      </c>
      <c r="G180" s="19">
        <f t="shared" si="4"/>
        <v>37.51465416</v>
      </c>
      <c r="H180" s="19">
        <f>'IG Raw Data'!D180</f>
        <v>864</v>
      </c>
      <c r="I180" s="17">
        <f t="shared" si="5"/>
        <v>0.01886792453</v>
      </c>
      <c r="J180" s="20">
        <f>'IG Raw Data'!E180</f>
        <v>9</v>
      </c>
      <c r="K180" s="22">
        <f t="shared" si="6"/>
        <v>172.1111111</v>
      </c>
      <c r="L180" s="22">
        <f>'IG Raw Data'!F180</f>
        <v>1549</v>
      </c>
    </row>
    <row r="181">
      <c r="A181" s="11">
        <f>'IG Raw Data'!A181</f>
        <v>45837</v>
      </c>
      <c r="B181" s="14">
        <f t="shared" si="1"/>
        <v>6</v>
      </c>
      <c r="C181" s="16">
        <f>'IG Raw Data'!B181</f>
        <v>27504</v>
      </c>
      <c r="D181" s="17">
        <f t="shared" si="2"/>
        <v>0.01523414776</v>
      </c>
      <c r="E181" s="16">
        <f>'IG Raw Data'!C181</f>
        <v>419</v>
      </c>
      <c r="F181" s="19">
        <f t="shared" si="3"/>
        <v>1.128878282</v>
      </c>
      <c r="G181" s="19">
        <f t="shared" si="4"/>
        <v>17.19749855</v>
      </c>
      <c r="H181" s="19">
        <f>'IG Raw Data'!D181</f>
        <v>473</v>
      </c>
      <c r="I181" s="17">
        <f t="shared" si="5"/>
        <v>0.0214797136</v>
      </c>
      <c r="J181" s="20">
        <f>'IG Raw Data'!E181</f>
        <v>9</v>
      </c>
      <c r="K181" s="22">
        <f t="shared" si="6"/>
        <v>164.3333333</v>
      </c>
      <c r="L181" s="22">
        <f>'IG Raw Data'!F181</f>
        <v>1479</v>
      </c>
    </row>
    <row r="182">
      <c r="A182" s="11">
        <f>'IG Raw Data'!A182</f>
        <v>45838</v>
      </c>
      <c r="B182" s="14">
        <f t="shared" si="1"/>
        <v>6</v>
      </c>
      <c r="C182" s="16">
        <f>'IG Raw Data'!B182</f>
        <v>41452</v>
      </c>
      <c r="D182" s="17">
        <f t="shared" si="2"/>
        <v>0.02033677507</v>
      </c>
      <c r="E182" s="16">
        <f>'IG Raw Data'!C182</f>
        <v>843</v>
      </c>
      <c r="F182" s="19">
        <f t="shared" si="3"/>
        <v>1.940688019</v>
      </c>
      <c r="G182" s="19">
        <f t="shared" si="4"/>
        <v>39.46733571</v>
      </c>
      <c r="H182" s="19">
        <f>'IG Raw Data'!D182</f>
        <v>1636</v>
      </c>
      <c r="I182" s="17">
        <f t="shared" si="5"/>
        <v>0.02016607355</v>
      </c>
      <c r="J182" s="20">
        <f>'IG Raw Data'!E182</f>
        <v>17</v>
      </c>
      <c r="K182" s="22">
        <f t="shared" si="6"/>
        <v>149.2352941</v>
      </c>
      <c r="L182" s="22">
        <f>'IG Raw Data'!F182</f>
        <v>2537</v>
      </c>
    </row>
    <row r="183">
      <c r="A183" s="11">
        <f>'IG Raw Data'!A183</f>
        <v>45839</v>
      </c>
      <c r="B183" s="14">
        <f t="shared" si="1"/>
        <v>7</v>
      </c>
      <c r="C183" s="16">
        <f>'IG Raw Data'!B183</f>
        <v>84189</v>
      </c>
      <c r="D183" s="17">
        <f t="shared" si="2"/>
        <v>0.02793714143</v>
      </c>
      <c r="E183" s="16">
        <f>'IG Raw Data'!C183</f>
        <v>2352</v>
      </c>
      <c r="F183" s="19">
        <f t="shared" si="3"/>
        <v>1.387755102</v>
      </c>
      <c r="G183" s="19">
        <f t="shared" si="4"/>
        <v>38.76991056</v>
      </c>
      <c r="H183" s="19">
        <f>'IG Raw Data'!D183</f>
        <v>3264</v>
      </c>
      <c r="I183" s="17">
        <f t="shared" si="5"/>
        <v>0.01955782313</v>
      </c>
      <c r="J183" s="20">
        <f>'IG Raw Data'!E183</f>
        <v>46</v>
      </c>
      <c r="K183" s="22">
        <f t="shared" si="6"/>
        <v>177.3478261</v>
      </c>
      <c r="L183" s="22">
        <f>'IG Raw Data'!F183</f>
        <v>8158</v>
      </c>
    </row>
    <row r="184">
      <c r="A184" s="11">
        <f>'IG Raw Data'!A184</f>
        <v>45840</v>
      </c>
      <c r="B184" s="14">
        <f t="shared" si="1"/>
        <v>7</v>
      </c>
      <c r="C184" s="16">
        <f>'IG Raw Data'!B184</f>
        <v>25428</v>
      </c>
      <c r="D184" s="17">
        <f t="shared" si="2"/>
        <v>0.02505112474</v>
      </c>
      <c r="E184" s="16">
        <f>'IG Raw Data'!C184</f>
        <v>637</v>
      </c>
      <c r="F184" s="19">
        <f t="shared" si="3"/>
        <v>1.034536892</v>
      </c>
      <c r="G184" s="19">
        <f t="shared" si="4"/>
        <v>25.91631273</v>
      </c>
      <c r="H184" s="19">
        <f>'IG Raw Data'!D184</f>
        <v>659</v>
      </c>
      <c r="I184" s="17">
        <f t="shared" si="5"/>
        <v>0.02197802198</v>
      </c>
      <c r="J184" s="20">
        <f>'IG Raw Data'!E184</f>
        <v>14</v>
      </c>
      <c r="K184" s="22">
        <f t="shared" si="6"/>
        <v>163.5714286</v>
      </c>
      <c r="L184" s="22">
        <f>'IG Raw Data'!F184</f>
        <v>2290</v>
      </c>
    </row>
    <row r="185">
      <c r="A185" s="11">
        <f>'IG Raw Data'!A185</f>
        <v>45841</v>
      </c>
      <c r="B185" s="14">
        <f t="shared" si="1"/>
        <v>7</v>
      </c>
      <c r="C185" s="16">
        <f>'IG Raw Data'!B185</f>
        <v>61279</v>
      </c>
      <c r="D185" s="17">
        <f t="shared" si="2"/>
        <v>0.01928882651</v>
      </c>
      <c r="E185" s="16">
        <f>'IG Raw Data'!C185</f>
        <v>1182</v>
      </c>
      <c r="F185" s="19">
        <f t="shared" si="3"/>
        <v>1.860406091</v>
      </c>
      <c r="G185" s="19">
        <f t="shared" si="4"/>
        <v>35.88505034</v>
      </c>
      <c r="H185" s="19">
        <f>'IG Raw Data'!D185</f>
        <v>2199</v>
      </c>
      <c r="I185" s="17">
        <f t="shared" si="5"/>
        <v>0.01353637902</v>
      </c>
      <c r="J185" s="20">
        <f>'IG Raw Data'!E185</f>
        <v>16</v>
      </c>
      <c r="K185" s="22">
        <f t="shared" si="6"/>
        <v>153.625</v>
      </c>
      <c r="L185" s="22">
        <f>'IG Raw Data'!F185</f>
        <v>2458</v>
      </c>
    </row>
    <row r="186">
      <c r="A186" s="11">
        <f>'IG Raw Data'!A186</f>
        <v>45842</v>
      </c>
      <c r="B186" s="14">
        <f t="shared" si="1"/>
        <v>7</v>
      </c>
      <c r="C186" s="16">
        <f>'IG Raw Data'!B186</f>
        <v>71106</v>
      </c>
      <c r="D186" s="17">
        <f t="shared" si="2"/>
        <v>0.01748094394</v>
      </c>
      <c r="E186" s="16">
        <f>'IG Raw Data'!C186</f>
        <v>1243</v>
      </c>
      <c r="F186" s="19">
        <f t="shared" si="3"/>
        <v>1.106999195</v>
      </c>
      <c r="G186" s="19">
        <f t="shared" si="4"/>
        <v>19.35139088</v>
      </c>
      <c r="H186" s="19">
        <f>'IG Raw Data'!D186</f>
        <v>1376</v>
      </c>
      <c r="I186" s="17">
        <f t="shared" si="5"/>
        <v>0.01448109413</v>
      </c>
      <c r="J186" s="20">
        <f>'IG Raw Data'!E186</f>
        <v>18</v>
      </c>
      <c r="K186" s="22">
        <f t="shared" si="6"/>
        <v>176.7222222</v>
      </c>
      <c r="L186" s="22">
        <f>'IG Raw Data'!F186</f>
        <v>3181</v>
      </c>
    </row>
    <row r="187">
      <c r="A187" s="11">
        <f>'IG Raw Data'!A187</f>
        <v>45843</v>
      </c>
      <c r="B187" s="14">
        <f t="shared" si="1"/>
        <v>7</v>
      </c>
      <c r="C187" s="16">
        <f>'IG Raw Data'!B187</f>
        <v>88949</v>
      </c>
      <c r="D187" s="17">
        <f t="shared" si="2"/>
        <v>0.02570012029</v>
      </c>
      <c r="E187" s="16">
        <f>'IG Raw Data'!C187</f>
        <v>2286</v>
      </c>
      <c r="F187" s="19">
        <f t="shared" si="3"/>
        <v>1.568678915</v>
      </c>
      <c r="G187" s="19">
        <f t="shared" si="4"/>
        <v>40.31523682</v>
      </c>
      <c r="H187" s="19">
        <f>'IG Raw Data'!D187</f>
        <v>3586</v>
      </c>
      <c r="I187" s="17">
        <f t="shared" si="5"/>
        <v>0.01224846894</v>
      </c>
      <c r="J187" s="20">
        <f>'IG Raw Data'!E187</f>
        <v>28</v>
      </c>
      <c r="K187" s="22">
        <f t="shared" si="6"/>
        <v>161.3928571</v>
      </c>
      <c r="L187" s="22">
        <f>'IG Raw Data'!F187</f>
        <v>4519</v>
      </c>
    </row>
    <row r="188">
      <c r="A188" s="11">
        <f>'IG Raw Data'!A188</f>
        <v>45844</v>
      </c>
      <c r="B188" s="14">
        <f t="shared" si="1"/>
        <v>7</v>
      </c>
      <c r="C188" s="16">
        <f>'IG Raw Data'!B188</f>
        <v>26132</v>
      </c>
      <c r="D188" s="17">
        <f t="shared" si="2"/>
        <v>0.02089392316</v>
      </c>
      <c r="E188" s="16">
        <f>'IG Raw Data'!C188</f>
        <v>546</v>
      </c>
      <c r="F188" s="19">
        <f t="shared" si="3"/>
        <v>1.386446886</v>
      </c>
      <c r="G188" s="19">
        <f t="shared" si="4"/>
        <v>28.96831471</v>
      </c>
      <c r="H188" s="19">
        <f>'IG Raw Data'!D188</f>
        <v>757</v>
      </c>
      <c r="I188" s="17">
        <f t="shared" si="5"/>
        <v>0.01282051282</v>
      </c>
      <c r="J188" s="20">
        <f>'IG Raw Data'!E188</f>
        <v>7</v>
      </c>
      <c r="K188" s="22">
        <f t="shared" si="6"/>
        <v>127.5714286</v>
      </c>
      <c r="L188" s="22">
        <f>'IG Raw Data'!F188</f>
        <v>893</v>
      </c>
    </row>
    <row r="189">
      <c r="A189" s="11">
        <f>'IG Raw Data'!A189</f>
        <v>45845</v>
      </c>
      <c r="B189" s="14">
        <f t="shared" si="1"/>
        <v>7</v>
      </c>
      <c r="C189" s="16">
        <f>'IG Raw Data'!B189</f>
        <v>43244</v>
      </c>
      <c r="D189" s="17">
        <f t="shared" si="2"/>
        <v>0.02744889464</v>
      </c>
      <c r="E189" s="16">
        <f>'IG Raw Data'!C189</f>
        <v>1187</v>
      </c>
      <c r="F189" s="19">
        <f t="shared" si="3"/>
        <v>1.540859309</v>
      </c>
      <c r="G189" s="19">
        <f t="shared" si="4"/>
        <v>42.29488484</v>
      </c>
      <c r="H189" s="19">
        <f>'IG Raw Data'!D189</f>
        <v>1829</v>
      </c>
      <c r="I189" s="17">
        <f t="shared" si="5"/>
        <v>0.02190395956</v>
      </c>
      <c r="J189" s="20">
        <f>'IG Raw Data'!E189</f>
        <v>26</v>
      </c>
      <c r="K189" s="22">
        <f t="shared" si="6"/>
        <v>158.3461538</v>
      </c>
      <c r="L189" s="22">
        <f>'IG Raw Data'!F189</f>
        <v>4117</v>
      </c>
    </row>
    <row r="190">
      <c r="A190" s="11">
        <f>'IG Raw Data'!A190</f>
        <v>45846</v>
      </c>
      <c r="B190" s="14">
        <f t="shared" si="1"/>
        <v>7</v>
      </c>
      <c r="C190" s="16">
        <f>'IG Raw Data'!B190</f>
        <v>75861</v>
      </c>
      <c r="D190" s="17">
        <f t="shared" si="2"/>
        <v>0.0177693413</v>
      </c>
      <c r="E190" s="16">
        <f>'IG Raw Data'!C190</f>
        <v>1348</v>
      </c>
      <c r="F190" s="19">
        <f t="shared" si="3"/>
        <v>2.044510386</v>
      </c>
      <c r="G190" s="19">
        <f t="shared" si="4"/>
        <v>36.32960283</v>
      </c>
      <c r="H190" s="19">
        <f>'IG Raw Data'!D190</f>
        <v>2756</v>
      </c>
      <c r="I190" s="17">
        <f t="shared" si="5"/>
        <v>0.02299703264</v>
      </c>
      <c r="J190" s="20">
        <f>'IG Raw Data'!E190</f>
        <v>31</v>
      </c>
      <c r="K190" s="22">
        <f t="shared" si="6"/>
        <v>99.5483871</v>
      </c>
      <c r="L190" s="22">
        <f>'IG Raw Data'!F190</f>
        <v>3086</v>
      </c>
    </row>
    <row r="191">
      <c r="A191" s="11">
        <f>'IG Raw Data'!A191</f>
        <v>45847</v>
      </c>
      <c r="B191" s="14">
        <f t="shared" si="1"/>
        <v>7</v>
      </c>
      <c r="C191" s="16">
        <f>'IG Raw Data'!B191</f>
        <v>53933</v>
      </c>
      <c r="D191" s="17">
        <f t="shared" si="2"/>
        <v>0.01676153746</v>
      </c>
      <c r="E191" s="16">
        <f>'IG Raw Data'!C191</f>
        <v>904</v>
      </c>
      <c r="F191" s="19">
        <f t="shared" si="3"/>
        <v>1.711283186</v>
      </c>
      <c r="G191" s="19">
        <f t="shared" si="4"/>
        <v>28.68373723</v>
      </c>
      <c r="H191" s="19">
        <f>'IG Raw Data'!D191</f>
        <v>1547</v>
      </c>
      <c r="I191" s="17">
        <f t="shared" si="5"/>
        <v>0.01880530973</v>
      </c>
      <c r="J191" s="20">
        <f>'IG Raw Data'!E191</f>
        <v>17</v>
      </c>
      <c r="K191" s="22">
        <f t="shared" si="6"/>
        <v>109.5294118</v>
      </c>
      <c r="L191" s="22">
        <f>'IG Raw Data'!F191</f>
        <v>1862</v>
      </c>
    </row>
    <row r="192">
      <c r="A192" s="11">
        <f>'IG Raw Data'!A192</f>
        <v>45848</v>
      </c>
      <c r="B192" s="14">
        <f t="shared" si="1"/>
        <v>7</v>
      </c>
      <c r="C192" s="16">
        <f>'IG Raw Data'!B192</f>
        <v>49348</v>
      </c>
      <c r="D192" s="17">
        <f t="shared" si="2"/>
        <v>0.02697171111</v>
      </c>
      <c r="E192" s="16">
        <f>'IG Raw Data'!C192</f>
        <v>1331</v>
      </c>
      <c r="F192" s="19">
        <f t="shared" si="3"/>
        <v>1.391435011</v>
      </c>
      <c r="G192" s="19">
        <f t="shared" si="4"/>
        <v>37.52938316</v>
      </c>
      <c r="H192" s="19">
        <f>'IG Raw Data'!D192</f>
        <v>1852</v>
      </c>
      <c r="I192" s="17">
        <f t="shared" si="5"/>
        <v>0.01202103681</v>
      </c>
      <c r="J192" s="20">
        <f>'IG Raw Data'!E192</f>
        <v>16</v>
      </c>
      <c r="K192" s="22">
        <f t="shared" si="6"/>
        <v>138.9375</v>
      </c>
      <c r="L192" s="22">
        <f>'IG Raw Data'!F192</f>
        <v>2223</v>
      </c>
    </row>
    <row r="193">
      <c r="A193" s="11">
        <f>'IG Raw Data'!A193</f>
        <v>45849</v>
      </c>
      <c r="B193" s="14">
        <f t="shared" si="1"/>
        <v>7</v>
      </c>
      <c r="C193" s="16">
        <f>'IG Raw Data'!B193</f>
        <v>82290</v>
      </c>
      <c r="D193" s="17">
        <f t="shared" si="2"/>
        <v>0.01356179366</v>
      </c>
      <c r="E193" s="16">
        <f>'IG Raw Data'!C193</f>
        <v>1116</v>
      </c>
      <c r="F193" s="19">
        <f t="shared" si="3"/>
        <v>1.382616487</v>
      </c>
      <c r="G193" s="19">
        <f t="shared" si="4"/>
        <v>18.75075951</v>
      </c>
      <c r="H193" s="19">
        <f>'IG Raw Data'!D193</f>
        <v>1543</v>
      </c>
      <c r="I193" s="17">
        <f t="shared" si="5"/>
        <v>0.01523297491</v>
      </c>
      <c r="J193" s="20">
        <f>'IG Raw Data'!E193</f>
        <v>17</v>
      </c>
      <c r="K193" s="22">
        <f t="shared" si="6"/>
        <v>167</v>
      </c>
      <c r="L193" s="22">
        <f>'IG Raw Data'!F193</f>
        <v>2839</v>
      </c>
    </row>
    <row r="194">
      <c r="A194" s="11">
        <f>'IG Raw Data'!A194</f>
        <v>45850</v>
      </c>
      <c r="B194" s="14">
        <f t="shared" si="1"/>
        <v>7</v>
      </c>
      <c r="C194" s="16">
        <f>'IG Raw Data'!B194</f>
        <v>88328</v>
      </c>
      <c r="D194" s="17">
        <f t="shared" si="2"/>
        <v>0.03115659813</v>
      </c>
      <c r="E194" s="16">
        <f>'IG Raw Data'!C194</f>
        <v>2752</v>
      </c>
      <c r="F194" s="19">
        <f t="shared" si="3"/>
        <v>1.222383721</v>
      </c>
      <c r="G194" s="19">
        <f t="shared" si="4"/>
        <v>38.08531836</v>
      </c>
      <c r="H194" s="19">
        <f>'IG Raw Data'!D194</f>
        <v>3364</v>
      </c>
      <c r="I194" s="17">
        <f t="shared" si="5"/>
        <v>0.02289244186</v>
      </c>
      <c r="J194" s="20">
        <f>'IG Raw Data'!E194</f>
        <v>63</v>
      </c>
      <c r="K194" s="22">
        <f t="shared" si="6"/>
        <v>161.2698413</v>
      </c>
      <c r="L194" s="22">
        <f>'IG Raw Data'!F194</f>
        <v>10160</v>
      </c>
    </row>
    <row r="195">
      <c r="A195" s="11">
        <f>'IG Raw Data'!A195</f>
        <v>45851</v>
      </c>
      <c r="B195" s="14">
        <f t="shared" si="1"/>
        <v>7</v>
      </c>
      <c r="C195" s="16">
        <f>'IG Raw Data'!B195</f>
        <v>39140</v>
      </c>
      <c r="D195" s="17">
        <f t="shared" si="2"/>
        <v>0.03019928462</v>
      </c>
      <c r="E195" s="16">
        <f>'IG Raw Data'!C195</f>
        <v>1182</v>
      </c>
      <c r="F195" s="19">
        <f t="shared" si="3"/>
        <v>1.525380711</v>
      </c>
      <c r="G195" s="19">
        <f t="shared" si="4"/>
        <v>46.06540623</v>
      </c>
      <c r="H195" s="19">
        <f>'IG Raw Data'!D195</f>
        <v>1803</v>
      </c>
      <c r="I195" s="17">
        <f t="shared" si="5"/>
        <v>0.01776649746</v>
      </c>
      <c r="J195" s="20">
        <f>'IG Raw Data'!E195</f>
        <v>21</v>
      </c>
      <c r="K195" s="22">
        <f t="shared" si="6"/>
        <v>210.1428571</v>
      </c>
      <c r="L195" s="22">
        <f>'IG Raw Data'!F195</f>
        <v>4413</v>
      </c>
    </row>
    <row r="196">
      <c r="A196" s="11">
        <f>'IG Raw Data'!A196</f>
        <v>45852</v>
      </c>
      <c r="B196" s="14">
        <f t="shared" si="1"/>
        <v>7</v>
      </c>
      <c r="C196" s="16">
        <f>'IG Raw Data'!B196</f>
        <v>51534</v>
      </c>
      <c r="D196" s="17">
        <f t="shared" si="2"/>
        <v>0.01317576745</v>
      </c>
      <c r="E196" s="16">
        <f>'IG Raw Data'!C196</f>
        <v>679</v>
      </c>
      <c r="F196" s="19">
        <f t="shared" si="3"/>
        <v>1.600883652</v>
      </c>
      <c r="G196" s="19">
        <f t="shared" si="4"/>
        <v>21.09287073</v>
      </c>
      <c r="H196" s="19">
        <f>'IG Raw Data'!D196</f>
        <v>1087</v>
      </c>
      <c r="I196" s="17">
        <f t="shared" si="5"/>
        <v>0.0206185567</v>
      </c>
      <c r="J196" s="20">
        <f>'IG Raw Data'!E196</f>
        <v>14</v>
      </c>
      <c r="K196" s="22">
        <f t="shared" si="6"/>
        <v>200</v>
      </c>
      <c r="L196" s="22">
        <f>'IG Raw Data'!F196</f>
        <v>2800</v>
      </c>
    </row>
    <row r="197">
      <c r="A197" s="11">
        <f>'IG Raw Data'!A197</f>
        <v>45853</v>
      </c>
      <c r="B197" s="14">
        <f t="shared" si="1"/>
        <v>7</v>
      </c>
      <c r="C197" s="16">
        <f>'IG Raw Data'!B197</f>
        <v>66793</v>
      </c>
      <c r="D197" s="17">
        <f t="shared" si="2"/>
        <v>0.01742697588</v>
      </c>
      <c r="E197" s="16">
        <f>'IG Raw Data'!C197</f>
        <v>1164</v>
      </c>
      <c r="F197" s="19">
        <f t="shared" si="3"/>
        <v>1.850515464</v>
      </c>
      <c r="G197" s="19">
        <f t="shared" si="4"/>
        <v>32.24888836</v>
      </c>
      <c r="H197" s="19">
        <f>'IG Raw Data'!D197</f>
        <v>2154</v>
      </c>
      <c r="I197" s="17">
        <f t="shared" si="5"/>
        <v>0.01975945017</v>
      </c>
      <c r="J197" s="20">
        <f>'IG Raw Data'!E197</f>
        <v>23</v>
      </c>
      <c r="K197" s="22">
        <f t="shared" si="6"/>
        <v>154.6086957</v>
      </c>
      <c r="L197" s="22">
        <f>'IG Raw Data'!F197</f>
        <v>3556</v>
      </c>
    </row>
    <row r="198">
      <c r="A198" s="11">
        <f>'IG Raw Data'!A198</f>
        <v>45854</v>
      </c>
      <c r="B198" s="14">
        <f t="shared" si="1"/>
        <v>7</v>
      </c>
      <c r="C198" s="16">
        <f>'IG Raw Data'!B198</f>
        <v>78188</v>
      </c>
      <c r="D198" s="17">
        <f t="shared" si="2"/>
        <v>0.02583516652</v>
      </c>
      <c r="E198" s="16">
        <f>'IG Raw Data'!C198</f>
        <v>2020</v>
      </c>
      <c r="F198" s="19">
        <f t="shared" si="3"/>
        <v>1.758910891</v>
      </c>
      <c r="G198" s="19">
        <f t="shared" si="4"/>
        <v>45.44175577</v>
      </c>
      <c r="H198" s="19">
        <f>'IG Raw Data'!D198</f>
        <v>3553</v>
      </c>
      <c r="I198" s="17">
        <f t="shared" si="5"/>
        <v>0.02623762376</v>
      </c>
      <c r="J198" s="20">
        <f>'IG Raw Data'!E198</f>
        <v>53</v>
      </c>
      <c r="K198" s="22">
        <f t="shared" si="6"/>
        <v>119.5660377</v>
      </c>
      <c r="L198" s="22">
        <f>'IG Raw Data'!F198</f>
        <v>6337</v>
      </c>
    </row>
    <row r="199">
      <c r="A199" s="11">
        <f>'IG Raw Data'!A199</f>
        <v>45855</v>
      </c>
      <c r="B199" s="14">
        <f t="shared" si="1"/>
        <v>7</v>
      </c>
      <c r="C199" s="16">
        <f>'IG Raw Data'!B199</f>
        <v>45734</v>
      </c>
      <c r="D199" s="17">
        <f t="shared" si="2"/>
        <v>0.0275506188</v>
      </c>
      <c r="E199" s="16">
        <f>'IG Raw Data'!C199</f>
        <v>1260</v>
      </c>
      <c r="F199" s="19">
        <f t="shared" si="3"/>
        <v>1.373015873</v>
      </c>
      <c r="G199" s="19">
        <f t="shared" si="4"/>
        <v>37.82743692</v>
      </c>
      <c r="H199" s="19">
        <f>'IG Raw Data'!D199</f>
        <v>1730</v>
      </c>
      <c r="I199" s="17">
        <f t="shared" si="5"/>
        <v>0.01666666667</v>
      </c>
      <c r="J199" s="20">
        <f>'IG Raw Data'!E199</f>
        <v>21</v>
      </c>
      <c r="K199" s="22">
        <f t="shared" si="6"/>
        <v>193.5238095</v>
      </c>
      <c r="L199" s="22">
        <f>'IG Raw Data'!F199</f>
        <v>4064</v>
      </c>
    </row>
    <row r="200">
      <c r="A200" s="11">
        <f>'IG Raw Data'!A200</f>
        <v>45856</v>
      </c>
      <c r="B200" s="14">
        <f t="shared" si="1"/>
        <v>7</v>
      </c>
      <c r="C200" s="16">
        <f>'IG Raw Data'!B200</f>
        <v>73680</v>
      </c>
      <c r="D200" s="17">
        <f t="shared" si="2"/>
        <v>0.02129478827</v>
      </c>
      <c r="E200" s="16">
        <f>'IG Raw Data'!C200</f>
        <v>1569</v>
      </c>
      <c r="F200" s="19">
        <f t="shared" si="3"/>
        <v>2.070108349</v>
      </c>
      <c r="G200" s="19">
        <f t="shared" si="4"/>
        <v>44.082519</v>
      </c>
      <c r="H200" s="19">
        <f>'IG Raw Data'!D200</f>
        <v>3248</v>
      </c>
      <c r="I200" s="17">
        <f t="shared" si="5"/>
        <v>0.01402166985</v>
      </c>
      <c r="J200" s="20">
        <f>'IG Raw Data'!E200</f>
        <v>22</v>
      </c>
      <c r="K200" s="22">
        <f t="shared" si="6"/>
        <v>119.3636364</v>
      </c>
      <c r="L200" s="22">
        <f>'IG Raw Data'!F200</f>
        <v>2626</v>
      </c>
    </row>
    <row r="201">
      <c r="A201" s="11">
        <f>'IG Raw Data'!A201</f>
        <v>45857</v>
      </c>
      <c r="B201" s="14">
        <f t="shared" si="1"/>
        <v>7</v>
      </c>
      <c r="C201" s="16">
        <f>'IG Raw Data'!B201</f>
        <v>30301</v>
      </c>
      <c r="D201" s="17">
        <f t="shared" si="2"/>
        <v>0.01432295964</v>
      </c>
      <c r="E201" s="16">
        <f>'IG Raw Data'!C201</f>
        <v>434</v>
      </c>
      <c r="F201" s="19">
        <f t="shared" si="3"/>
        <v>1.218894009</v>
      </c>
      <c r="G201" s="19">
        <f t="shared" si="4"/>
        <v>17.4581697</v>
      </c>
      <c r="H201" s="19">
        <f>'IG Raw Data'!D201</f>
        <v>529</v>
      </c>
      <c r="I201" s="17">
        <f t="shared" si="5"/>
        <v>0.02534562212</v>
      </c>
      <c r="J201" s="20">
        <f>'IG Raw Data'!E201</f>
        <v>11</v>
      </c>
      <c r="K201" s="22">
        <f t="shared" si="6"/>
        <v>131.0909091</v>
      </c>
      <c r="L201" s="22">
        <f>'IG Raw Data'!F201</f>
        <v>1442</v>
      </c>
    </row>
    <row r="202">
      <c r="A202" s="11">
        <f>'IG Raw Data'!A202</f>
        <v>45858</v>
      </c>
      <c r="B202" s="14">
        <f t="shared" si="1"/>
        <v>7</v>
      </c>
      <c r="C202" s="16">
        <f>'IG Raw Data'!B202</f>
        <v>30343</v>
      </c>
      <c r="D202" s="17">
        <f t="shared" si="2"/>
        <v>0.03275879115</v>
      </c>
      <c r="E202" s="16">
        <f>'IG Raw Data'!C202</f>
        <v>994</v>
      </c>
      <c r="F202" s="19">
        <f t="shared" si="3"/>
        <v>1.438631791</v>
      </c>
      <c r="G202" s="19">
        <f t="shared" si="4"/>
        <v>47.12783838</v>
      </c>
      <c r="H202" s="19">
        <f>'IG Raw Data'!D202</f>
        <v>1430</v>
      </c>
      <c r="I202" s="17">
        <f t="shared" si="5"/>
        <v>0.01207243461</v>
      </c>
      <c r="J202" s="20">
        <f>'IG Raw Data'!E202</f>
        <v>12</v>
      </c>
      <c r="K202" s="22">
        <f t="shared" si="6"/>
        <v>170.5833333</v>
      </c>
      <c r="L202" s="22">
        <f>'IG Raw Data'!F202</f>
        <v>2047</v>
      </c>
    </row>
    <row r="203">
      <c r="A203" s="11">
        <f>'IG Raw Data'!A203</f>
        <v>45859</v>
      </c>
      <c r="B203" s="14">
        <f t="shared" si="1"/>
        <v>7</v>
      </c>
      <c r="C203" s="16">
        <f>'IG Raw Data'!B203</f>
        <v>21615</v>
      </c>
      <c r="D203" s="17">
        <f t="shared" si="2"/>
        <v>0.0124450613</v>
      </c>
      <c r="E203" s="16">
        <f>'IG Raw Data'!C203</f>
        <v>269</v>
      </c>
      <c r="F203" s="19">
        <f t="shared" si="3"/>
        <v>1.312267658</v>
      </c>
      <c r="G203" s="19">
        <f t="shared" si="4"/>
        <v>16.33125145</v>
      </c>
      <c r="H203" s="19">
        <f>'IG Raw Data'!D203</f>
        <v>353</v>
      </c>
      <c r="I203" s="17">
        <f t="shared" si="5"/>
        <v>0.02602230483</v>
      </c>
      <c r="J203" s="20">
        <f>'IG Raw Data'!E203</f>
        <v>7</v>
      </c>
      <c r="K203" s="22">
        <f t="shared" si="6"/>
        <v>129.8571429</v>
      </c>
      <c r="L203" s="22">
        <f>'IG Raw Data'!F203</f>
        <v>909</v>
      </c>
    </row>
    <row r="204">
      <c r="A204" s="11">
        <f>'IG Raw Data'!A204</f>
        <v>45860</v>
      </c>
      <c r="B204" s="14">
        <f t="shared" si="1"/>
        <v>7</v>
      </c>
      <c r="C204" s="16">
        <f>'IG Raw Data'!B204</f>
        <v>21183</v>
      </c>
      <c r="D204" s="17">
        <f t="shared" si="2"/>
        <v>0.01765566728</v>
      </c>
      <c r="E204" s="16">
        <f>'IG Raw Data'!C204</f>
        <v>374</v>
      </c>
      <c r="F204" s="19">
        <f t="shared" si="3"/>
        <v>1.794117647</v>
      </c>
      <c r="G204" s="19">
        <f t="shared" si="4"/>
        <v>31.67634424</v>
      </c>
      <c r="H204" s="19">
        <f>'IG Raw Data'!D204</f>
        <v>671</v>
      </c>
      <c r="I204" s="17">
        <f t="shared" si="5"/>
        <v>0.01336898396</v>
      </c>
      <c r="J204" s="20">
        <f>'IG Raw Data'!E204</f>
        <v>5</v>
      </c>
      <c r="K204" s="22">
        <f t="shared" si="6"/>
        <v>118</v>
      </c>
      <c r="L204" s="22">
        <f>'IG Raw Data'!F204</f>
        <v>590</v>
      </c>
    </row>
    <row r="205">
      <c r="A205" s="11">
        <f>'IG Raw Data'!A205</f>
        <v>45861</v>
      </c>
      <c r="B205" s="14">
        <f t="shared" si="1"/>
        <v>7</v>
      </c>
      <c r="C205" s="16">
        <f>'IG Raw Data'!B205</f>
        <v>16435</v>
      </c>
      <c r="D205" s="17">
        <f t="shared" si="2"/>
        <v>0.02251292972</v>
      </c>
      <c r="E205" s="16">
        <f>'IG Raw Data'!C205</f>
        <v>370</v>
      </c>
      <c r="F205" s="19">
        <f t="shared" si="3"/>
        <v>1.827027027</v>
      </c>
      <c r="G205" s="19">
        <f t="shared" si="4"/>
        <v>41.13173106</v>
      </c>
      <c r="H205" s="19">
        <f>'IG Raw Data'!D205</f>
        <v>676</v>
      </c>
      <c r="I205" s="17">
        <f t="shared" si="5"/>
        <v>0.02162162162</v>
      </c>
      <c r="J205" s="20">
        <f>'IG Raw Data'!E205</f>
        <v>8</v>
      </c>
      <c r="K205" s="22">
        <f t="shared" si="6"/>
        <v>191.5</v>
      </c>
      <c r="L205" s="22">
        <f>'IG Raw Data'!F205</f>
        <v>1532</v>
      </c>
    </row>
    <row r="206">
      <c r="A206" s="11">
        <f>'IG Raw Data'!A206</f>
        <v>45862</v>
      </c>
      <c r="B206" s="14">
        <f t="shared" si="1"/>
        <v>7</v>
      </c>
      <c r="C206" s="16">
        <f>'IG Raw Data'!B206</f>
        <v>86669</v>
      </c>
      <c r="D206" s="17">
        <f t="shared" si="2"/>
        <v>0.02416088798</v>
      </c>
      <c r="E206" s="16">
        <f>'IG Raw Data'!C206</f>
        <v>2094</v>
      </c>
      <c r="F206" s="19">
        <f t="shared" si="3"/>
        <v>1.063992359</v>
      </c>
      <c r="G206" s="19">
        <f t="shared" si="4"/>
        <v>25.7070002</v>
      </c>
      <c r="H206" s="19">
        <f>'IG Raw Data'!D206</f>
        <v>2228</v>
      </c>
      <c r="I206" s="17">
        <f t="shared" si="5"/>
        <v>0.01575931232</v>
      </c>
      <c r="J206" s="20">
        <f>'IG Raw Data'!E206</f>
        <v>33</v>
      </c>
      <c r="K206" s="22">
        <f t="shared" si="6"/>
        <v>113</v>
      </c>
      <c r="L206" s="22">
        <f>'IG Raw Data'!F206</f>
        <v>3729</v>
      </c>
    </row>
    <row r="207">
      <c r="A207" s="11">
        <f>'IG Raw Data'!A207</f>
        <v>45863</v>
      </c>
      <c r="B207" s="14">
        <f t="shared" si="1"/>
        <v>7</v>
      </c>
      <c r="C207" s="16">
        <f>'IG Raw Data'!B207</f>
        <v>41574</v>
      </c>
      <c r="D207" s="17">
        <f t="shared" si="2"/>
        <v>0.01039110983</v>
      </c>
      <c r="E207" s="16">
        <f>'IG Raw Data'!C207</f>
        <v>432</v>
      </c>
      <c r="F207" s="19">
        <f t="shared" si="3"/>
        <v>1.212962963</v>
      </c>
      <c r="G207" s="19">
        <f t="shared" si="4"/>
        <v>12.60403137</v>
      </c>
      <c r="H207" s="19">
        <f>'IG Raw Data'!D207</f>
        <v>524</v>
      </c>
      <c r="I207" s="17">
        <f t="shared" si="5"/>
        <v>0.02083333333</v>
      </c>
      <c r="J207" s="20">
        <f>'IG Raw Data'!E207</f>
        <v>9</v>
      </c>
      <c r="K207" s="22">
        <f t="shared" si="6"/>
        <v>170.1111111</v>
      </c>
      <c r="L207" s="22">
        <f>'IG Raw Data'!F207</f>
        <v>1531</v>
      </c>
    </row>
    <row r="208">
      <c r="A208" s="11">
        <f>'IG Raw Data'!A208</f>
        <v>45864</v>
      </c>
      <c r="B208" s="14">
        <f t="shared" si="1"/>
        <v>7</v>
      </c>
      <c r="C208" s="16">
        <f>'IG Raw Data'!B208</f>
        <v>18458</v>
      </c>
      <c r="D208" s="17">
        <f t="shared" si="2"/>
        <v>0.01874525951</v>
      </c>
      <c r="E208" s="16">
        <f>'IG Raw Data'!C208</f>
        <v>346</v>
      </c>
      <c r="F208" s="19">
        <f t="shared" si="3"/>
        <v>1.436416185</v>
      </c>
      <c r="G208" s="19">
        <f t="shared" si="4"/>
        <v>26.92599415</v>
      </c>
      <c r="H208" s="19">
        <f>'IG Raw Data'!D208</f>
        <v>497</v>
      </c>
      <c r="I208" s="17">
        <f t="shared" si="5"/>
        <v>0.02312138728</v>
      </c>
      <c r="J208" s="20">
        <f>'IG Raw Data'!E208</f>
        <v>8</v>
      </c>
      <c r="K208" s="22">
        <f t="shared" si="6"/>
        <v>145.5</v>
      </c>
      <c r="L208" s="22">
        <f>'IG Raw Data'!F208</f>
        <v>1164</v>
      </c>
    </row>
    <row r="209">
      <c r="A209" s="11">
        <f>'IG Raw Data'!A209</f>
        <v>45865</v>
      </c>
      <c r="B209" s="14">
        <f t="shared" si="1"/>
        <v>7</v>
      </c>
      <c r="C209" s="16">
        <f>'IG Raw Data'!B209</f>
        <v>50558</v>
      </c>
      <c r="D209" s="17">
        <f t="shared" si="2"/>
        <v>0.03121167768</v>
      </c>
      <c r="E209" s="16">
        <f>'IG Raw Data'!C209</f>
        <v>1578</v>
      </c>
      <c r="F209" s="19">
        <f t="shared" si="3"/>
        <v>1.831432193</v>
      </c>
      <c r="G209" s="19">
        <f t="shared" si="4"/>
        <v>57.16207128</v>
      </c>
      <c r="H209" s="19">
        <f>'IG Raw Data'!D209</f>
        <v>2890</v>
      </c>
      <c r="I209" s="17">
        <f t="shared" si="5"/>
        <v>0.01330798479</v>
      </c>
      <c r="J209" s="20">
        <f>'IG Raw Data'!E209</f>
        <v>21</v>
      </c>
      <c r="K209" s="22">
        <f t="shared" si="6"/>
        <v>132.7619048</v>
      </c>
      <c r="L209" s="22">
        <f>'IG Raw Data'!F209</f>
        <v>2788</v>
      </c>
    </row>
    <row r="210">
      <c r="A210" s="11">
        <f>'IG Raw Data'!A210</f>
        <v>45866</v>
      </c>
      <c r="B210" s="14">
        <f t="shared" si="1"/>
        <v>7</v>
      </c>
      <c r="C210" s="16">
        <f>'IG Raw Data'!B210</f>
        <v>82330</v>
      </c>
      <c r="D210" s="17">
        <f t="shared" si="2"/>
        <v>0.01327584113</v>
      </c>
      <c r="E210" s="16">
        <f>'IG Raw Data'!C210</f>
        <v>1093</v>
      </c>
      <c r="F210" s="19">
        <f t="shared" si="3"/>
        <v>1.967978042</v>
      </c>
      <c r="G210" s="19">
        <f t="shared" si="4"/>
        <v>26.12656383</v>
      </c>
      <c r="H210" s="19">
        <f>'IG Raw Data'!D210</f>
        <v>2151</v>
      </c>
      <c r="I210" s="17">
        <f t="shared" si="5"/>
        <v>0.01829826167</v>
      </c>
      <c r="J210" s="20">
        <f>'IG Raw Data'!E210</f>
        <v>20</v>
      </c>
      <c r="K210" s="22">
        <f t="shared" si="6"/>
        <v>115.65</v>
      </c>
      <c r="L210" s="22">
        <f>'IG Raw Data'!F210</f>
        <v>2313</v>
      </c>
    </row>
    <row r="211">
      <c r="A211" s="11">
        <f>'IG Raw Data'!A211</f>
        <v>45867</v>
      </c>
      <c r="B211" s="14">
        <f t="shared" si="1"/>
        <v>7</v>
      </c>
      <c r="C211" s="16">
        <f>'IG Raw Data'!B211</f>
        <v>39166</v>
      </c>
      <c r="D211" s="17">
        <f t="shared" si="2"/>
        <v>0.02537915539</v>
      </c>
      <c r="E211" s="16">
        <f>'IG Raw Data'!C211</f>
        <v>994</v>
      </c>
      <c r="F211" s="19">
        <f t="shared" si="3"/>
        <v>1.245472837</v>
      </c>
      <c r="G211" s="19">
        <f t="shared" si="4"/>
        <v>31.60904866</v>
      </c>
      <c r="H211" s="19">
        <f>'IG Raw Data'!D211</f>
        <v>1238</v>
      </c>
      <c r="I211" s="17">
        <f t="shared" si="5"/>
        <v>0.01710261569</v>
      </c>
      <c r="J211" s="20">
        <f>'IG Raw Data'!E211</f>
        <v>17</v>
      </c>
      <c r="K211" s="22">
        <f t="shared" si="6"/>
        <v>162.7058824</v>
      </c>
      <c r="L211" s="22">
        <f>'IG Raw Data'!F211</f>
        <v>2766</v>
      </c>
    </row>
    <row r="212">
      <c r="A212" s="11">
        <f>'IG Raw Data'!A212</f>
        <v>45868</v>
      </c>
      <c r="B212" s="14">
        <f t="shared" si="1"/>
        <v>7</v>
      </c>
      <c r="C212" s="16">
        <f>'IG Raw Data'!B212</f>
        <v>50849</v>
      </c>
      <c r="D212" s="17">
        <f t="shared" si="2"/>
        <v>0.01681448996</v>
      </c>
      <c r="E212" s="16">
        <f>'IG Raw Data'!C212</f>
        <v>855</v>
      </c>
      <c r="F212" s="19">
        <f t="shared" si="3"/>
        <v>1.039766082</v>
      </c>
      <c r="G212" s="19">
        <f t="shared" si="4"/>
        <v>17.48313634</v>
      </c>
      <c r="H212" s="19">
        <f>'IG Raw Data'!D212</f>
        <v>889</v>
      </c>
      <c r="I212" s="17">
        <f t="shared" si="5"/>
        <v>0.01520467836</v>
      </c>
      <c r="J212" s="20">
        <f>'IG Raw Data'!E212</f>
        <v>13</v>
      </c>
      <c r="K212" s="22">
        <f t="shared" si="6"/>
        <v>169.5384615</v>
      </c>
      <c r="L212" s="22">
        <f>'IG Raw Data'!F212</f>
        <v>2204</v>
      </c>
    </row>
    <row r="213">
      <c r="A213" s="11">
        <f>'IG Raw Data'!A213</f>
        <v>45869</v>
      </c>
      <c r="B213" s="14">
        <f t="shared" si="1"/>
        <v>7</v>
      </c>
      <c r="C213" s="16">
        <f>'IG Raw Data'!B213</f>
        <v>37335</v>
      </c>
      <c r="D213" s="17">
        <f t="shared" si="2"/>
        <v>0.02274005625</v>
      </c>
      <c r="E213" s="16">
        <f>'IG Raw Data'!C213</f>
        <v>849</v>
      </c>
      <c r="F213" s="19">
        <f t="shared" si="3"/>
        <v>1.931684335</v>
      </c>
      <c r="G213" s="19">
        <f t="shared" si="4"/>
        <v>43.92661042</v>
      </c>
      <c r="H213" s="19">
        <f>'IG Raw Data'!D213</f>
        <v>1640</v>
      </c>
      <c r="I213" s="17">
        <f t="shared" si="5"/>
        <v>0.02120141343</v>
      </c>
      <c r="J213" s="20">
        <f>'IG Raw Data'!E213</f>
        <v>18</v>
      </c>
      <c r="K213" s="22">
        <f t="shared" si="6"/>
        <v>165.2777778</v>
      </c>
      <c r="L213" s="22">
        <f>'IG Raw Data'!F213</f>
        <v>2975</v>
      </c>
    </row>
    <row r="214">
      <c r="A214" s="11">
        <f>'IG Raw Data'!A214</f>
        <v>45870</v>
      </c>
      <c r="B214" s="14">
        <f t="shared" si="1"/>
        <v>8</v>
      </c>
      <c r="C214" s="16">
        <f>'IG Raw Data'!B214</f>
        <v>51942</v>
      </c>
      <c r="D214" s="17">
        <f t="shared" si="2"/>
        <v>0.01655692888</v>
      </c>
      <c r="E214" s="16">
        <f>'IG Raw Data'!C214</f>
        <v>860</v>
      </c>
      <c r="F214" s="19">
        <f t="shared" si="3"/>
        <v>1.352325581</v>
      </c>
      <c r="G214" s="19">
        <f t="shared" si="4"/>
        <v>22.39035848</v>
      </c>
      <c r="H214" s="19">
        <f>'IG Raw Data'!D214</f>
        <v>1163</v>
      </c>
      <c r="I214" s="17">
        <f t="shared" si="5"/>
        <v>0.01511627907</v>
      </c>
      <c r="J214" s="20">
        <f>'IG Raw Data'!E214</f>
        <v>13</v>
      </c>
      <c r="K214" s="22">
        <f t="shared" si="6"/>
        <v>165.9230769</v>
      </c>
      <c r="L214" s="22">
        <f>'IG Raw Data'!F214</f>
        <v>2157</v>
      </c>
    </row>
    <row r="215">
      <c r="A215" s="11">
        <f>'IG Raw Data'!A215</f>
        <v>45871</v>
      </c>
      <c r="B215" s="14">
        <f t="shared" si="1"/>
        <v>8</v>
      </c>
      <c r="C215" s="16">
        <f>'IG Raw Data'!B215</f>
        <v>52511</v>
      </c>
      <c r="D215" s="17">
        <f t="shared" si="2"/>
        <v>0.01519681591</v>
      </c>
      <c r="E215" s="16">
        <f>'IG Raw Data'!C215</f>
        <v>798</v>
      </c>
      <c r="F215" s="19">
        <f t="shared" si="3"/>
        <v>1.179197995</v>
      </c>
      <c r="G215" s="19">
        <f t="shared" si="4"/>
        <v>17.92005485</v>
      </c>
      <c r="H215" s="19">
        <f>'IG Raw Data'!D215</f>
        <v>941</v>
      </c>
      <c r="I215" s="17">
        <f t="shared" si="5"/>
        <v>0.02380952381</v>
      </c>
      <c r="J215" s="20">
        <f>'IG Raw Data'!E215</f>
        <v>19</v>
      </c>
      <c r="K215" s="22">
        <f t="shared" si="6"/>
        <v>125.4210526</v>
      </c>
      <c r="L215" s="22">
        <f>'IG Raw Data'!F215</f>
        <v>2383</v>
      </c>
    </row>
    <row r="216">
      <c r="A216" s="11">
        <f>'IG Raw Data'!A216</f>
        <v>45872</v>
      </c>
      <c r="B216" s="14">
        <f t="shared" si="1"/>
        <v>8</v>
      </c>
      <c r="C216" s="16">
        <f>'IG Raw Data'!B216</f>
        <v>72199</v>
      </c>
      <c r="D216" s="17">
        <f t="shared" si="2"/>
        <v>0.02724414466</v>
      </c>
      <c r="E216" s="16">
        <f>'IG Raw Data'!C216</f>
        <v>1967</v>
      </c>
      <c r="F216" s="19">
        <f t="shared" si="3"/>
        <v>1.459074733</v>
      </c>
      <c r="G216" s="19">
        <f t="shared" si="4"/>
        <v>39.75124309</v>
      </c>
      <c r="H216" s="19">
        <f>'IG Raw Data'!D216</f>
        <v>2870</v>
      </c>
      <c r="I216" s="17">
        <f t="shared" si="5"/>
        <v>0.02389425521</v>
      </c>
      <c r="J216" s="20">
        <f>'IG Raw Data'!E216</f>
        <v>47</v>
      </c>
      <c r="K216" s="22">
        <f t="shared" si="6"/>
        <v>137.4468085</v>
      </c>
      <c r="L216" s="22">
        <f>'IG Raw Data'!F216</f>
        <v>6460</v>
      </c>
    </row>
    <row r="217">
      <c r="A217" s="11">
        <f>'IG Raw Data'!A217</f>
        <v>45873</v>
      </c>
      <c r="B217" s="14">
        <f t="shared" si="1"/>
        <v>8</v>
      </c>
      <c r="C217" s="16">
        <f>'IG Raw Data'!B217</f>
        <v>41541</v>
      </c>
      <c r="D217" s="17">
        <f t="shared" si="2"/>
        <v>0.01774150839</v>
      </c>
      <c r="E217" s="16">
        <f>'IG Raw Data'!C217</f>
        <v>737</v>
      </c>
      <c r="F217" s="19">
        <f t="shared" si="3"/>
        <v>1.744911805</v>
      </c>
      <c r="G217" s="19">
        <f t="shared" si="4"/>
        <v>30.95736742</v>
      </c>
      <c r="H217" s="19">
        <f>'IG Raw Data'!D217</f>
        <v>1286</v>
      </c>
      <c r="I217" s="17">
        <f t="shared" si="5"/>
        <v>0.01763907734</v>
      </c>
      <c r="J217" s="20">
        <f>'IG Raw Data'!E217</f>
        <v>13</v>
      </c>
      <c r="K217" s="22">
        <f t="shared" si="6"/>
        <v>159.7692308</v>
      </c>
      <c r="L217" s="22">
        <f>'IG Raw Data'!F217</f>
        <v>2077</v>
      </c>
    </row>
    <row r="218">
      <c r="A218" s="11">
        <f>'IG Raw Data'!A218</f>
        <v>45874</v>
      </c>
      <c r="B218" s="14">
        <f t="shared" si="1"/>
        <v>8</v>
      </c>
      <c r="C218" s="16">
        <f>'IG Raw Data'!B218</f>
        <v>37318</v>
      </c>
      <c r="D218" s="17">
        <f t="shared" si="2"/>
        <v>0.02325955303</v>
      </c>
      <c r="E218" s="16">
        <f>'IG Raw Data'!C218</f>
        <v>868</v>
      </c>
      <c r="F218" s="19">
        <f t="shared" si="3"/>
        <v>1.564516129</v>
      </c>
      <c r="G218" s="19">
        <f t="shared" si="4"/>
        <v>36.38994587</v>
      </c>
      <c r="H218" s="19">
        <f>'IG Raw Data'!D218</f>
        <v>1358</v>
      </c>
      <c r="I218" s="17">
        <f t="shared" si="5"/>
        <v>0.01728110599</v>
      </c>
      <c r="J218" s="20">
        <f>'IG Raw Data'!E218</f>
        <v>15</v>
      </c>
      <c r="K218" s="22">
        <f t="shared" si="6"/>
        <v>132.9333333</v>
      </c>
      <c r="L218" s="22">
        <f>'IG Raw Data'!F218</f>
        <v>1994</v>
      </c>
    </row>
    <row r="219">
      <c r="A219" s="11">
        <f>'IG Raw Data'!A219</f>
        <v>45875</v>
      </c>
      <c r="B219" s="14">
        <f t="shared" si="1"/>
        <v>8</v>
      </c>
      <c r="C219" s="16">
        <f>'IG Raw Data'!B219</f>
        <v>44137</v>
      </c>
      <c r="D219" s="17">
        <f t="shared" si="2"/>
        <v>0.01445499241</v>
      </c>
      <c r="E219" s="16">
        <f>'IG Raw Data'!C219</f>
        <v>638</v>
      </c>
      <c r="F219" s="19">
        <f t="shared" si="3"/>
        <v>1.07523511</v>
      </c>
      <c r="G219" s="19">
        <f t="shared" si="4"/>
        <v>15.54251535</v>
      </c>
      <c r="H219" s="19">
        <f>'IG Raw Data'!D219</f>
        <v>686</v>
      </c>
      <c r="I219" s="17">
        <f t="shared" si="5"/>
        <v>0.02194357367</v>
      </c>
      <c r="J219" s="20">
        <f>'IG Raw Data'!E219</f>
        <v>14</v>
      </c>
      <c r="K219" s="22">
        <f t="shared" si="6"/>
        <v>133.5</v>
      </c>
      <c r="L219" s="22">
        <f>'IG Raw Data'!F219</f>
        <v>1869</v>
      </c>
    </row>
    <row r="220">
      <c r="A220" s="11">
        <f>'IG Raw Data'!A220</f>
        <v>45876</v>
      </c>
      <c r="B220" s="14">
        <f t="shared" si="1"/>
        <v>8</v>
      </c>
      <c r="C220" s="16">
        <f>'IG Raw Data'!B220</f>
        <v>58673</v>
      </c>
      <c r="D220" s="17">
        <f t="shared" si="2"/>
        <v>0.0347689738</v>
      </c>
      <c r="E220" s="16">
        <f>'IG Raw Data'!C220</f>
        <v>2040</v>
      </c>
      <c r="F220" s="19">
        <f t="shared" si="3"/>
        <v>1.664215686</v>
      </c>
      <c r="G220" s="19">
        <f t="shared" si="4"/>
        <v>57.8630716</v>
      </c>
      <c r="H220" s="19">
        <f>'IG Raw Data'!D220</f>
        <v>3395</v>
      </c>
      <c r="I220" s="17">
        <f t="shared" si="5"/>
        <v>0.02009803922</v>
      </c>
      <c r="J220" s="20">
        <f>'IG Raw Data'!E220</f>
        <v>41</v>
      </c>
      <c r="K220" s="22">
        <f t="shared" si="6"/>
        <v>191.7804878</v>
      </c>
      <c r="L220" s="22">
        <f>'IG Raw Data'!F220</f>
        <v>7863</v>
      </c>
    </row>
    <row r="221">
      <c r="A221" s="11">
        <f>'IG Raw Data'!A221</f>
        <v>45877</v>
      </c>
      <c r="B221" s="14">
        <f t="shared" si="1"/>
        <v>8</v>
      </c>
      <c r="C221" s="16">
        <f>'IG Raw Data'!B221</f>
        <v>106960</v>
      </c>
      <c r="D221" s="17">
        <f t="shared" si="2"/>
        <v>0.0155104712</v>
      </c>
      <c r="E221" s="16">
        <f>'IG Raw Data'!C221</f>
        <v>1659</v>
      </c>
      <c r="F221" s="19">
        <f t="shared" si="3"/>
        <v>1.147076552</v>
      </c>
      <c r="G221" s="19">
        <f t="shared" si="4"/>
        <v>17.79169783</v>
      </c>
      <c r="H221" s="19">
        <f>'IG Raw Data'!D221</f>
        <v>1903</v>
      </c>
      <c r="I221" s="17">
        <f t="shared" si="5"/>
        <v>0.0198915009</v>
      </c>
      <c r="J221" s="20">
        <f>'IG Raw Data'!E221</f>
        <v>33</v>
      </c>
      <c r="K221" s="22">
        <f t="shared" si="6"/>
        <v>132.969697</v>
      </c>
      <c r="L221" s="22">
        <f>'IG Raw Data'!F221</f>
        <v>4388</v>
      </c>
    </row>
    <row r="222">
      <c r="A222" s="11">
        <f>'IG Raw Data'!A222</f>
        <v>45878</v>
      </c>
      <c r="B222" s="14">
        <f t="shared" si="1"/>
        <v>8</v>
      </c>
      <c r="C222" s="16">
        <f>'IG Raw Data'!B222</f>
        <v>35706</v>
      </c>
      <c r="D222" s="17">
        <f t="shared" si="2"/>
        <v>0.009970313113</v>
      </c>
      <c r="E222" s="16">
        <f>'IG Raw Data'!C222</f>
        <v>356</v>
      </c>
      <c r="F222" s="19">
        <f t="shared" si="3"/>
        <v>1.300561798</v>
      </c>
      <c r="G222" s="19">
        <f t="shared" si="4"/>
        <v>12.96700835</v>
      </c>
      <c r="H222" s="19">
        <f>'IG Raw Data'!D222</f>
        <v>463</v>
      </c>
      <c r="I222" s="17">
        <f t="shared" si="5"/>
        <v>0.02528089888</v>
      </c>
      <c r="J222" s="20">
        <f>'IG Raw Data'!E222</f>
        <v>9</v>
      </c>
      <c r="K222" s="22">
        <f t="shared" si="6"/>
        <v>118.3333333</v>
      </c>
      <c r="L222" s="22">
        <f>'IG Raw Data'!F222</f>
        <v>1065</v>
      </c>
    </row>
    <row r="223">
      <c r="A223" s="11">
        <f>'IG Raw Data'!A223</f>
        <v>45879</v>
      </c>
      <c r="B223" s="14">
        <f t="shared" si="1"/>
        <v>8</v>
      </c>
      <c r="C223" s="16">
        <f>'IG Raw Data'!B223</f>
        <v>52249</v>
      </c>
      <c r="D223" s="17">
        <f t="shared" si="2"/>
        <v>0.02461291125</v>
      </c>
      <c r="E223" s="16">
        <f>'IG Raw Data'!C223</f>
        <v>1286</v>
      </c>
      <c r="F223" s="19">
        <f t="shared" si="3"/>
        <v>1.877138414</v>
      </c>
      <c r="G223" s="19">
        <f t="shared" si="4"/>
        <v>46.20184118</v>
      </c>
      <c r="H223" s="19">
        <f>'IG Raw Data'!D223</f>
        <v>2414</v>
      </c>
      <c r="I223" s="17">
        <f t="shared" si="5"/>
        <v>0.01088646967</v>
      </c>
      <c r="J223" s="20">
        <f>'IG Raw Data'!E223</f>
        <v>14</v>
      </c>
      <c r="K223" s="22">
        <f t="shared" si="6"/>
        <v>164.2142857</v>
      </c>
      <c r="L223" s="22">
        <f>'IG Raw Data'!F223</f>
        <v>2299</v>
      </c>
    </row>
    <row r="224">
      <c r="A224" s="11">
        <f>'IG Raw Data'!A224</f>
        <v>45880</v>
      </c>
      <c r="B224" s="14">
        <f t="shared" si="1"/>
        <v>8</v>
      </c>
      <c r="C224" s="16">
        <f>'IG Raw Data'!B224</f>
        <v>80576</v>
      </c>
      <c r="D224" s="17">
        <f t="shared" si="2"/>
        <v>0.0143094718</v>
      </c>
      <c r="E224" s="16">
        <f>'IG Raw Data'!C224</f>
        <v>1153</v>
      </c>
      <c r="F224" s="19">
        <f t="shared" si="3"/>
        <v>1.79358196</v>
      </c>
      <c r="G224" s="19">
        <f t="shared" si="4"/>
        <v>25.66521048</v>
      </c>
      <c r="H224" s="19">
        <f>'IG Raw Data'!D224</f>
        <v>2068</v>
      </c>
      <c r="I224" s="17">
        <f t="shared" si="5"/>
        <v>0.0225498699</v>
      </c>
      <c r="J224" s="20">
        <f>'IG Raw Data'!E224</f>
        <v>26</v>
      </c>
      <c r="K224" s="22">
        <f t="shared" si="6"/>
        <v>114.6153846</v>
      </c>
      <c r="L224" s="22">
        <f>'IG Raw Data'!F224</f>
        <v>2980</v>
      </c>
    </row>
    <row r="225">
      <c r="A225" s="11">
        <f>'IG Raw Data'!A225</f>
        <v>45881</v>
      </c>
      <c r="B225" s="14">
        <f t="shared" si="1"/>
        <v>8</v>
      </c>
      <c r="C225" s="16">
        <f>'IG Raw Data'!B225</f>
        <v>17630</v>
      </c>
      <c r="D225" s="17">
        <f t="shared" si="2"/>
        <v>0.01741349972</v>
      </c>
      <c r="E225" s="16">
        <f>'IG Raw Data'!C225</f>
        <v>307</v>
      </c>
      <c r="F225" s="19">
        <f t="shared" si="3"/>
        <v>1.918566775</v>
      </c>
      <c r="G225" s="19">
        <f t="shared" si="4"/>
        <v>33.408962</v>
      </c>
      <c r="H225" s="19">
        <f>'IG Raw Data'!D225</f>
        <v>589</v>
      </c>
      <c r="I225" s="17">
        <f t="shared" si="5"/>
        <v>0.01954397394</v>
      </c>
      <c r="J225" s="20">
        <f>'IG Raw Data'!E225</f>
        <v>6</v>
      </c>
      <c r="K225" s="22">
        <f t="shared" si="6"/>
        <v>181</v>
      </c>
      <c r="L225" s="22">
        <f>'IG Raw Data'!F225</f>
        <v>1086</v>
      </c>
    </row>
    <row r="226">
      <c r="A226" s="11">
        <f>'IG Raw Data'!A226</f>
        <v>45882</v>
      </c>
      <c r="B226" s="14">
        <f t="shared" si="1"/>
        <v>8</v>
      </c>
      <c r="C226" s="16">
        <f>'IG Raw Data'!B226</f>
        <v>53805</v>
      </c>
      <c r="D226" s="17">
        <f t="shared" si="2"/>
        <v>0.01397639625</v>
      </c>
      <c r="E226" s="16">
        <f>'IG Raw Data'!C226</f>
        <v>752</v>
      </c>
      <c r="F226" s="19">
        <f t="shared" si="3"/>
        <v>1.513297872</v>
      </c>
      <c r="G226" s="19">
        <f t="shared" si="4"/>
        <v>21.1504507</v>
      </c>
      <c r="H226" s="19">
        <f>'IG Raw Data'!D226</f>
        <v>1138</v>
      </c>
      <c r="I226" s="17">
        <f t="shared" si="5"/>
        <v>0.01196808511</v>
      </c>
      <c r="J226" s="20">
        <f>'IG Raw Data'!E226</f>
        <v>9</v>
      </c>
      <c r="K226" s="22">
        <f t="shared" si="6"/>
        <v>114.7777778</v>
      </c>
      <c r="L226" s="22">
        <f>'IG Raw Data'!F226</f>
        <v>1033</v>
      </c>
    </row>
    <row r="227">
      <c r="A227" s="11">
        <f>'IG Raw Data'!A227</f>
        <v>45883</v>
      </c>
      <c r="B227" s="14">
        <f t="shared" si="1"/>
        <v>8</v>
      </c>
      <c r="C227" s="16">
        <f>'IG Raw Data'!B227</f>
        <v>87678</v>
      </c>
      <c r="D227" s="17">
        <f t="shared" si="2"/>
        <v>0.02206939027</v>
      </c>
      <c r="E227" s="16">
        <f>'IG Raw Data'!C227</f>
        <v>1935</v>
      </c>
      <c r="F227" s="19">
        <f t="shared" si="3"/>
        <v>1.409819121</v>
      </c>
      <c r="G227" s="19">
        <f t="shared" si="4"/>
        <v>31.1138484</v>
      </c>
      <c r="H227" s="19">
        <f>'IG Raw Data'!D227</f>
        <v>2728</v>
      </c>
      <c r="I227" s="17">
        <f t="shared" si="5"/>
        <v>0.01860465116</v>
      </c>
      <c r="J227" s="20">
        <f>'IG Raw Data'!E227</f>
        <v>36</v>
      </c>
      <c r="K227" s="22">
        <f t="shared" si="6"/>
        <v>203.2777778</v>
      </c>
      <c r="L227" s="22">
        <f>'IG Raw Data'!F227</f>
        <v>7318</v>
      </c>
    </row>
    <row r="228">
      <c r="A228" s="11">
        <f>'IG Raw Data'!A228</f>
        <v>45884</v>
      </c>
      <c r="B228" s="14">
        <f t="shared" si="1"/>
        <v>8</v>
      </c>
      <c r="C228" s="16">
        <f>'IG Raw Data'!B228</f>
        <v>67967</v>
      </c>
      <c r="D228" s="17">
        <f t="shared" si="2"/>
        <v>0.03051480866</v>
      </c>
      <c r="E228" s="16">
        <f>'IG Raw Data'!C228</f>
        <v>2074</v>
      </c>
      <c r="F228" s="19">
        <f t="shared" si="3"/>
        <v>1.696721311</v>
      </c>
      <c r="G228" s="19">
        <f t="shared" si="4"/>
        <v>51.77512616</v>
      </c>
      <c r="H228" s="19">
        <f>'IG Raw Data'!D228</f>
        <v>3519</v>
      </c>
      <c r="I228" s="17">
        <f t="shared" si="5"/>
        <v>0.01350048216</v>
      </c>
      <c r="J228" s="20">
        <f>'IG Raw Data'!E228</f>
        <v>28</v>
      </c>
      <c r="K228" s="22">
        <f t="shared" si="6"/>
        <v>128.5357143</v>
      </c>
      <c r="L228" s="22">
        <f>'IG Raw Data'!F228</f>
        <v>3599</v>
      </c>
    </row>
    <row r="229">
      <c r="A229" s="11">
        <f>'IG Raw Data'!A229</f>
        <v>45885</v>
      </c>
      <c r="B229" s="14">
        <f t="shared" si="1"/>
        <v>8</v>
      </c>
      <c r="C229" s="16">
        <f>'IG Raw Data'!B229</f>
        <v>28092</v>
      </c>
      <c r="D229" s="17">
        <f t="shared" si="2"/>
        <v>0.02523850206</v>
      </c>
      <c r="E229" s="16">
        <f>'IG Raw Data'!C229</f>
        <v>709</v>
      </c>
      <c r="F229" s="19">
        <f t="shared" si="3"/>
        <v>1.118476728</v>
      </c>
      <c r="G229" s="19">
        <f t="shared" si="4"/>
        <v>28.2286772</v>
      </c>
      <c r="H229" s="19">
        <f>'IG Raw Data'!D229</f>
        <v>793</v>
      </c>
      <c r="I229" s="17">
        <f t="shared" si="5"/>
        <v>0.01410437236</v>
      </c>
      <c r="J229" s="20">
        <f>'IG Raw Data'!E229</f>
        <v>10</v>
      </c>
      <c r="K229" s="22">
        <f t="shared" si="6"/>
        <v>147.3</v>
      </c>
      <c r="L229" s="22">
        <f>'IG Raw Data'!F229</f>
        <v>1473</v>
      </c>
    </row>
    <row r="230">
      <c r="A230" s="11">
        <f>'IG Raw Data'!A230</f>
        <v>45886</v>
      </c>
      <c r="B230" s="14">
        <f t="shared" si="1"/>
        <v>8</v>
      </c>
      <c r="C230" s="16">
        <f>'IG Raw Data'!B230</f>
        <v>95908</v>
      </c>
      <c r="D230" s="17">
        <f t="shared" si="2"/>
        <v>0.01380489636</v>
      </c>
      <c r="E230" s="16">
        <f>'IG Raw Data'!C230</f>
        <v>1324</v>
      </c>
      <c r="F230" s="19">
        <f t="shared" si="3"/>
        <v>1.651057402</v>
      </c>
      <c r="G230" s="19">
        <f t="shared" si="4"/>
        <v>22.79267631</v>
      </c>
      <c r="H230" s="19">
        <f>'IG Raw Data'!D230</f>
        <v>2186</v>
      </c>
      <c r="I230" s="17">
        <f t="shared" si="5"/>
        <v>0.01737160121</v>
      </c>
      <c r="J230" s="20">
        <f>'IG Raw Data'!E230</f>
        <v>23</v>
      </c>
      <c r="K230" s="22">
        <f t="shared" si="6"/>
        <v>164</v>
      </c>
      <c r="L230" s="22">
        <f>'IG Raw Data'!F230</f>
        <v>3772</v>
      </c>
    </row>
    <row r="231">
      <c r="A231" s="11">
        <f>'IG Raw Data'!A231</f>
        <v>45887</v>
      </c>
      <c r="B231" s="14">
        <f t="shared" si="1"/>
        <v>8</v>
      </c>
      <c r="C231" s="16">
        <f>'IG Raw Data'!B231</f>
        <v>78748</v>
      </c>
      <c r="D231" s="17">
        <f t="shared" si="2"/>
        <v>0.01898460913</v>
      </c>
      <c r="E231" s="16">
        <f>'IG Raw Data'!C231</f>
        <v>1495</v>
      </c>
      <c r="F231" s="19">
        <f t="shared" si="3"/>
        <v>1.518394649</v>
      </c>
      <c r="G231" s="19">
        <f t="shared" si="4"/>
        <v>28.82612892</v>
      </c>
      <c r="H231" s="19">
        <f>'IG Raw Data'!D231</f>
        <v>2270</v>
      </c>
      <c r="I231" s="17">
        <f t="shared" si="5"/>
        <v>0.02341137124</v>
      </c>
      <c r="J231" s="20">
        <f>'IG Raw Data'!E231</f>
        <v>35</v>
      </c>
      <c r="K231" s="22">
        <f t="shared" si="6"/>
        <v>140</v>
      </c>
      <c r="L231" s="22">
        <f>'IG Raw Data'!F231</f>
        <v>4900</v>
      </c>
    </row>
    <row r="232">
      <c r="A232" s="11">
        <f>'IG Raw Data'!A232</f>
        <v>45888</v>
      </c>
      <c r="B232" s="14">
        <f t="shared" si="1"/>
        <v>8</v>
      </c>
      <c r="C232" s="16">
        <f>'IG Raw Data'!B232</f>
        <v>11723</v>
      </c>
      <c r="D232" s="17">
        <f t="shared" si="2"/>
        <v>0.02132559925</v>
      </c>
      <c r="E232" s="16">
        <f>'IG Raw Data'!C232</f>
        <v>250</v>
      </c>
      <c r="F232" s="19">
        <f t="shared" si="3"/>
        <v>1.588</v>
      </c>
      <c r="G232" s="19">
        <f t="shared" si="4"/>
        <v>33.86505161</v>
      </c>
      <c r="H232" s="19">
        <f>'IG Raw Data'!D232</f>
        <v>397</v>
      </c>
      <c r="I232" s="17">
        <f t="shared" si="5"/>
        <v>0.02</v>
      </c>
      <c r="J232" s="20">
        <f>'IG Raw Data'!E232</f>
        <v>5</v>
      </c>
      <c r="K232" s="22">
        <f t="shared" si="6"/>
        <v>142.8</v>
      </c>
      <c r="L232" s="22">
        <f>'IG Raw Data'!F232</f>
        <v>714</v>
      </c>
    </row>
    <row r="233">
      <c r="A233" s="11">
        <f>'IG Raw Data'!A233</f>
        <v>45889</v>
      </c>
      <c r="B233" s="14">
        <f t="shared" si="1"/>
        <v>8</v>
      </c>
      <c r="C233" s="16">
        <f>'IG Raw Data'!B233</f>
        <v>13511</v>
      </c>
      <c r="D233" s="17">
        <f t="shared" si="2"/>
        <v>0.02005773074</v>
      </c>
      <c r="E233" s="16">
        <f>'IG Raw Data'!C233</f>
        <v>271</v>
      </c>
      <c r="F233" s="19">
        <f t="shared" si="3"/>
        <v>1.822878229</v>
      </c>
      <c r="G233" s="19">
        <f t="shared" si="4"/>
        <v>36.56280068</v>
      </c>
      <c r="H233" s="19">
        <f>'IG Raw Data'!D233</f>
        <v>494</v>
      </c>
      <c r="I233" s="17">
        <f t="shared" si="5"/>
        <v>0.0147601476</v>
      </c>
      <c r="J233" s="20">
        <f>'IG Raw Data'!E233</f>
        <v>4</v>
      </c>
      <c r="K233" s="22">
        <f t="shared" si="6"/>
        <v>164.25</v>
      </c>
      <c r="L233" s="22">
        <f>'IG Raw Data'!F233</f>
        <v>657</v>
      </c>
    </row>
    <row r="234">
      <c r="A234" s="11">
        <f>'IG Raw Data'!A234</f>
        <v>45890</v>
      </c>
      <c r="B234" s="14">
        <f t="shared" si="1"/>
        <v>8</v>
      </c>
      <c r="C234" s="16">
        <f>'IG Raw Data'!B234</f>
        <v>11744</v>
      </c>
      <c r="D234" s="17">
        <f t="shared" si="2"/>
        <v>0.01643392371</v>
      </c>
      <c r="E234" s="16">
        <f>'IG Raw Data'!C234</f>
        <v>193</v>
      </c>
      <c r="F234" s="19">
        <f t="shared" si="3"/>
        <v>1.238341969</v>
      </c>
      <c r="G234" s="19">
        <f t="shared" si="4"/>
        <v>20.35081744</v>
      </c>
      <c r="H234" s="19">
        <f>'IG Raw Data'!D234</f>
        <v>239</v>
      </c>
      <c r="I234" s="17">
        <f t="shared" si="5"/>
        <v>0.01554404145</v>
      </c>
      <c r="J234" s="20">
        <f>'IG Raw Data'!E234</f>
        <v>3</v>
      </c>
      <c r="K234" s="22">
        <f t="shared" si="6"/>
        <v>213</v>
      </c>
      <c r="L234" s="22">
        <f>'IG Raw Data'!F234</f>
        <v>639</v>
      </c>
    </row>
    <row r="235">
      <c r="A235" s="11">
        <f>'IG Raw Data'!A235</f>
        <v>45891</v>
      </c>
      <c r="B235" s="14">
        <f t="shared" si="1"/>
        <v>8</v>
      </c>
      <c r="C235" s="16">
        <f>'IG Raw Data'!B235</f>
        <v>55379</v>
      </c>
      <c r="D235" s="17">
        <f t="shared" si="2"/>
        <v>0.02322179888</v>
      </c>
      <c r="E235" s="16">
        <f>'IG Raw Data'!C235</f>
        <v>1286</v>
      </c>
      <c r="F235" s="19">
        <f t="shared" si="3"/>
        <v>1.949455677</v>
      </c>
      <c r="G235" s="19">
        <f t="shared" si="4"/>
        <v>45.26986764</v>
      </c>
      <c r="H235" s="19">
        <f>'IG Raw Data'!D235</f>
        <v>2507</v>
      </c>
      <c r="I235" s="17">
        <f t="shared" si="5"/>
        <v>0.01399688958</v>
      </c>
      <c r="J235" s="20">
        <f>'IG Raw Data'!E235</f>
        <v>18</v>
      </c>
      <c r="K235" s="22">
        <f t="shared" si="6"/>
        <v>178.7222222</v>
      </c>
      <c r="L235" s="22">
        <f>'IG Raw Data'!F235</f>
        <v>3217</v>
      </c>
    </row>
    <row r="236">
      <c r="A236" s="11">
        <f>'IG Raw Data'!A236</f>
        <v>45892</v>
      </c>
      <c r="B236" s="14">
        <f t="shared" si="1"/>
        <v>8</v>
      </c>
      <c r="C236" s="16">
        <f>'IG Raw Data'!B236</f>
        <v>92269</v>
      </c>
      <c r="D236" s="17">
        <f t="shared" si="2"/>
        <v>0.02281372942</v>
      </c>
      <c r="E236" s="16">
        <f>'IG Raw Data'!C236</f>
        <v>2105</v>
      </c>
      <c r="F236" s="19">
        <f t="shared" si="3"/>
        <v>1.281235154</v>
      </c>
      <c r="G236" s="19">
        <f t="shared" si="4"/>
        <v>29.22975214</v>
      </c>
      <c r="H236" s="19">
        <f>'IG Raw Data'!D236</f>
        <v>2697</v>
      </c>
      <c r="I236" s="17">
        <f t="shared" si="5"/>
        <v>0.01757719715</v>
      </c>
      <c r="J236" s="20">
        <f>'IG Raw Data'!E236</f>
        <v>37</v>
      </c>
      <c r="K236" s="22">
        <f t="shared" si="6"/>
        <v>151.5135135</v>
      </c>
      <c r="L236" s="22">
        <f>'IG Raw Data'!F236</f>
        <v>5606</v>
      </c>
    </row>
    <row r="237">
      <c r="A237" s="11">
        <f>'IG Raw Data'!A237</f>
        <v>45893</v>
      </c>
      <c r="B237" s="14">
        <f t="shared" si="1"/>
        <v>8</v>
      </c>
      <c r="C237" s="16">
        <f>'IG Raw Data'!B237</f>
        <v>24200</v>
      </c>
      <c r="D237" s="17">
        <f t="shared" si="2"/>
        <v>0.03111570248</v>
      </c>
      <c r="E237" s="16">
        <f>'IG Raw Data'!C237</f>
        <v>753</v>
      </c>
      <c r="F237" s="19">
        <f t="shared" si="3"/>
        <v>1.187250996</v>
      </c>
      <c r="G237" s="19">
        <f t="shared" si="4"/>
        <v>36.94214876</v>
      </c>
      <c r="H237" s="19">
        <f>'IG Raw Data'!D237</f>
        <v>894</v>
      </c>
      <c r="I237" s="17">
        <f t="shared" si="5"/>
        <v>0.01992031873</v>
      </c>
      <c r="J237" s="20">
        <f>'IG Raw Data'!E237</f>
        <v>15</v>
      </c>
      <c r="K237" s="22">
        <f t="shared" si="6"/>
        <v>156.3333333</v>
      </c>
      <c r="L237" s="22">
        <f>'IG Raw Data'!F237</f>
        <v>2345</v>
      </c>
    </row>
    <row r="238">
      <c r="A238" s="11">
        <f>'IG Raw Data'!A238</f>
        <v>45894</v>
      </c>
      <c r="B238" s="14">
        <f t="shared" si="1"/>
        <v>8</v>
      </c>
      <c r="C238" s="16">
        <f>'IG Raw Data'!B238</f>
        <v>94898</v>
      </c>
      <c r="D238" s="17">
        <f t="shared" si="2"/>
        <v>0.0141098864</v>
      </c>
      <c r="E238" s="16">
        <f>'IG Raw Data'!C238</f>
        <v>1339</v>
      </c>
      <c r="F238" s="19">
        <f t="shared" si="3"/>
        <v>1.957430919</v>
      </c>
      <c r="G238" s="19">
        <f t="shared" si="4"/>
        <v>27.61912791</v>
      </c>
      <c r="H238" s="19">
        <f>'IG Raw Data'!D238</f>
        <v>2621</v>
      </c>
      <c r="I238" s="17">
        <f t="shared" si="5"/>
        <v>0.01792382375</v>
      </c>
      <c r="J238" s="20">
        <f>'IG Raw Data'!E238</f>
        <v>24</v>
      </c>
      <c r="K238" s="22">
        <f t="shared" si="6"/>
        <v>185.25</v>
      </c>
      <c r="L238" s="22">
        <f>'IG Raw Data'!F238</f>
        <v>4446</v>
      </c>
    </row>
    <row r="239">
      <c r="A239" s="11">
        <f>'IG Raw Data'!A239</f>
        <v>45895</v>
      </c>
      <c r="B239" s="14">
        <f t="shared" si="1"/>
        <v>8</v>
      </c>
      <c r="C239" s="16">
        <f>'IG Raw Data'!B239</f>
        <v>82128</v>
      </c>
      <c r="D239" s="17">
        <f t="shared" si="2"/>
        <v>0.0154027859</v>
      </c>
      <c r="E239" s="16">
        <f>'IG Raw Data'!C239</f>
        <v>1265</v>
      </c>
      <c r="F239" s="19">
        <f t="shared" si="3"/>
        <v>1.821343874</v>
      </c>
      <c r="G239" s="19">
        <f t="shared" si="4"/>
        <v>28.05376973</v>
      </c>
      <c r="H239" s="19">
        <f>'IG Raw Data'!D239</f>
        <v>2304</v>
      </c>
      <c r="I239" s="17">
        <f t="shared" si="5"/>
        <v>0.01976284585</v>
      </c>
      <c r="J239" s="20">
        <f>'IG Raw Data'!E239</f>
        <v>25</v>
      </c>
      <c r="K239" s="22">
        <f t="shared" si="6"/>
        <v>144.64</v>
      </c>
      <c r="L239" s="22">
        <f>'IG Raw Data'!F239</f>
        <v>3616</v>
      </c>
    </row>
    <row r="240">
      <c r="A240" s="11">
        <f>'IG Raw Data'!A240</f>
        <v>45896</v>
      </c>
      <c r="B240" s="14">
        <f t="shared" si="1"/>
        <v>8</v>
      </c>
      <c r="C240" s="16">
        <f>'IG Raw Data'!B240</f>
        <v>59574</v>
      </c>
      <c r="D240" s="17">
        <f t="shared" si="2"/>
        <v>0.02314768187</v>
      </c>
      <c r="E240" s="16">
        <f>'IG Raw Data'!C240</f>
        <v>1379</v>
      </c>
      <c r="F240" s="19">
        <f t="shared" si="3"/>
        <v>1.945612763</v>
      </c>
      <c r="G240" s="19">
        <f t="shared" si="4"/>
        <v>45.03642529</v>
      </c>
      <c r="H240" s="19">
        <f>'IG Raw Data'!D240</f>
        <v>2683</v>
      </c>
      <c r="I240" s="17">
        <f t="shared" si="5"/>
        <v>0.01740391588</v>
      </c>
      <c r="J240" s="20">
        <f>'IG Raw Data'!E240</f>
        <v>24</v>
      </c>
      <c r="K240" s="22">
        <f t="shared" si="6"/>
        <v>126.0416667</v>
      </c>
      <c r="L240" s="22">
        <f>'IG Raw Data'!F240</f>
        <v>3025</v>
      </c>
    </row>
    <row r="241">
      <c r="A241" s="11">
        <f>'IG Raw Data'!A241</f>
        <v>45897</v>
      </c>
      <c r="B241" s="14">
        <f t="shared" si="1"/>
        <v>8</v>
      </c>
      <c r="C241" s="16">
        <f>'IG Raw Data'!B241</f>
        <v>24834</v>
      </c>
      <c r="D241" s="17">
        <f t="shared" si="2"/>
        <v>0.01554320689</v>
      </c>
      <c r="E241" s="16">
        <f>'IG Raw Data'!C241</f>
        <v>386</v>
      </c>
      <c r="F241" s="19">
        <f t="shared" si="3"/>
        <v>1.707253886</v>
      </c>
      <c r="G241" s="19">
        <f t="shared" si="4"/>
        <v>26.53620037</v>
      </c>
      <c r="H241" s="19">
        <f>'IG Raw Data'!D241</f>
        <v>659</v>
      </c>
      <c r="I241" s="17">
        <f t="shared" si="5"/>
        <v>0.0103626943</v>
      </c>
      <c r="J241" s="20">
        <f>'IG Raw Data'!E241</f>
        <v>4</v>
      </c>
      <c r="K241" s="22">
        <f t="shared" si="6"/>
        <v>171.5</v>
      </c>
      <c r="L241" s="22">
        <f>'IG Raw Data'!F241</f>
        <v>686</v>
      </c>
    </row>
    <row r="242">
      <c r="A242" s="11">
        <f>'IG Raw Data'!A242</f>
        <v>45898</v>
      </c>
      <c r="B242" s="14">
        <f t="shared" si="1"/>
        <v>8</v>
      </c>
      <c r="C242" s="16">
        <f>'IG Raw Data'!B242</f>
        <v>52708</v>
      </c>
      <c r="D242" s="17">
        <f t="shared" si="2"/>
        <v>0.01174394779</v>
      </c>
      <c r="E242" s="16">
        <f>'IG Raw Data'!C242</f>
        <v>619</v>
      </c>
      <c r="F242" s="19">
        <f t="shared" si="3"/>
        <v>1.447495961</v>
      </c>
      <c r="G242" s="19">
        <f t="shared" si="4"/>
        <v>16.99931699</v>
      </c>
      <c r="H242" s="19">
        <f>'IG Raw Data'!D242</f>
        <v>896</v>
      </c>
      <c r="I242" s="17">
        <f t="shared" si="5"/>
        <v>0.02261712439</v>
      </c>
      <c r="J242" s="20">
        <f>'IG Raw Data'!E242</f>
        <v>14</v>
      </c>
      <c r="K242" s="22">
        <f t="shared" si="6"/>
        <v>165.2142857</v>
      </c>
      <c r="L242" s="22">
        <f>'IG Raw Data'!F242</f>
        <v>2313</v>
      </c>
    </row>
    <row r="243">
      <c r="A243" s="11">
        <f>'IG Raw Data'!A243</f>
        <v>45899</v>
      </c>
      <c r="B243" s="14">
        <f t="shared" si="1"/>
        <v>8</v>
      </c>
      <c r="C243" s="16">
        <f>'IG Raw Data'!B243</f>
        <v>15425</v>
      </c>
      <c r="D243" s="17">
        <f t="shared" si="2"/>
        <v>0.01893030794</v>
      </c>
      <c r="E243" s="16">
        <f>'IG Raw Data'!C243</f>
        <v>292</v>
      </c>
      <c r="F243" s="19">
        <f t="shared" si="3"/>
        <v>2.123287671</v>
      </c>
      <c r="G243" s="19">
        <f t="shared" si="4"/>
        <v>40.19448947</v>
      </c>
      <c r="H243" s="19">
        <f>'IG Raw Data'!D243</f>
        <v>620</v>
      </c>
      <c r="I243" s="17">
        <f t="shared" si="5"/>
        <v>0.01712328767</v>
      </c>
      <c r="J243" s="20">
        <f>'IG Raw Data'!E243</f>
        <v>5</v>
      </c>
      <c r="K243" s="22">
        <f t="shared" si="6"/>
        <v>120.6</v>
      </c>
      <c r="L243" s="22">
        <f>'IG Raw Data'!F243</f>
        <v>603</v>
      </c>
    </row>
    <row r="244">
      <c r="A244" s="11">
        <f>'IG Raw Data'!A244</f>
        <v>45900</v>
      </c>
      <c r="B244" s="14">
        <f t="shared" si="1"/>
        <v>8</v>
      </c>
      <c r="C244" s="16">
        <f>'IG Raw Data'!B244</f>
        <v>71281</v>
      </c>
      <c r="D244" s="17">
        <f t="shared" si="2"/>
        <v>0.01878480942</v>
      </c>
      <c r="E244" s="16">
        <f>'IG Raw Data'!C244</f>
        <v>1339</v>
      </c>
      <c r="F244" s="19">
        <f t="shared" si="3"/>
        <v>0.9940253921</v>
      </c>
      <c r="G244" s="19">
        <f t="shared" si="4"/>
        <v>18.67257755</v>
      </c>
      <c r="H244" s="19">
        <f>'IG Raw Data'!D244</f>
        <v>1331</v>
      </c>
      <c r="I244" s="17">
        <f t="shared" si="5"/>
        <v>0.01568334578</v>
      </c>
      <c r="J244" s="20">
        <f>'IG Raw Data'!E244</f>
        <v>21</v>
      </c>
      <c r="K244" s="22">
        <f t="shared" si="6"/>
        <v>134.3333333</v>
      </c>
      <c r="L244" s="22">
        <f>'IG Raw Data'!F244</f>
        <v>2821</v>
      </c>
    </row>
    <row r="245">
      <c r="A245" s="11">
        <f>'IG Raw Data'!A245</f>
        <v>45901</v>
      </c>
      <c r="B245" s="14">
        <f t="shared" si="1"/>
        <v>9</v>
      </c>
      <c r="C245" s="16">
        <f>'IG Raw Data'!B245</f>
        <v>86224</v>
      </c>
      <c r="D245" s="17">
        <f t="shared" si="2"/>
        <v>0.01472907775</v>
      </c>
      <c r="E245" s="16">
        <f>'IG Raw Data'!C245</f>
        <v>1270</v>
      </c>
      <c r="F245" s="19">
        <f t="shared" si="3"/>
        <v>2.067716535</v>
      </c>
      <c r="G245" s="19">
        <f t="shared" si="4"/>
        <v>30.45555762</v>
      </c>
      <c r="H245" s="19">
        <f>'IG Raw Data'!D245</f>
        <v>2626</v>
      </c>
      <c r="I245" s="17">
        <f t="shared" si="5"/>
        <v>0.02204724409</v>
      </c>
      <c r="J245" s="20">
        <f>'IG Raw Data'!E245</f>
        <v>28</v>
      </c>
      <c r="K245" s="22">
        <f t="shared" si="6"/>
        <v>117.75</v>
      </c>
      <c r="L245" s="22">
        <f>'IG Raw Data'!F245</f>
        <v>3297</v>
      </c>
    </row>
    <row r="246">
      <c r="A246" s="11">
        <f>'IG Raw Data'!A246</f>
        <v>45902</v>
      </c>
      <c r="B246" s="14">
        <f t="shared" si="1"/>
        <v>9</v>
      </c>
      <c r="C246" s="16">
        <f>'IG Raw Data'!B246</f>
        <v>54980</v>
      </c>
      <c r="D246" s="17">
        <f t="shared" si="2"/>
        <v>0.02793743179</v>
      </c>
      <c r="E246" s="16">
        <f>'IG Raw Data'!C246</f>
        <v>1536</v>
      </c>
      <c r="F246" s="19">
        <f t="shared" si="3"/>
        <v>0.9192708333</v>
      </c>
      <c r="G246" s="19">
        <f t="shared" si="4"/>
        <v>25.68206621</v>
      </c>
      <c r="H246" s="19">
        <f>'IG Raw Data'!D246</f>
        <v>1412</v>
      </c>
      <c r="I246" s="17">
        <f t="shared" si="5"/>
        <v>0.01627604167</v>
      </c>
      <c r="J246" s="20">
        <f>'IG Raw Data'!E246</f>
        <v>25</v>
      </c>
      <c r="K246" s="22">
        <f t="shared" si="6"/>
        <v>108.2</v>
      </c>
      <c r="L246" s="22">
        <f>'IG Raw Data'!F246</f>
        <v>2705</v>
      </c>
    </row>
    <row r="247">
      <c r="A247" s="11">
        <f>'IG Raw Data'!A247</f>
        <v>45903</v>
      </c>
      <c r="B247" s="14">
        <f t="shared" si="1"/>
        <v>9</v>
      </c>
      <c r="C247" s="16">
        <f>'IG Raw Data'!B247</f>
        <v>20759</v>
      </c>
      <c r="D247" s="17">
        <f t="shared" si="2"/>
        <v>0.02789151693</v>
      </c>
      <c r="E247" s="16">
        <f>'IG Raw Data'!C247</f>
        <v>579</v>
      </c>
      <c r="F247" s="19">
        <f t="shared" si="3"/>
        <v>1.13298791</v>
      </c>
      <c r="G247" s="19">
        <f t="shared" si="4"/>
        <v>31.60075148</v>
      </c>
      <c r="H247" s="19">
        <f>'IG Raw Data'!D247</f>
        <v>656</v>
      </c>
      <c r="I247" s="17">
        <f t="shared" si="5"/>
        <v>0.0103626943</v>
      </c>
      <c r="J247" s="20">
        <f>'IG Raw Data'!E247</f>
        <v>6</v>
      </c>
      <c r="K247" s="22">
        <f t="shared" si="6"/>
        <v>211.6666667</v>
      </c>
      <c r="L247" s="22">
        <f>'IG Raw Data'!F247</f>
        <v>1270</v>
      </c>
    </row>
    <row r="248">
      <c r="A248" s="11">
        <f>'IG Raw Data'!A248</f>
        <v>45904</v>
      </c>
      <c r="B248" s="14">
        <f t="shared" si="1"/>
        <v>9</v>
      </c>
      <c r="C248" s="16">
        <f>'IG Raw Data'!B248</f>
        <v>88745</v>
      </c>
      <c r="D248" s="17">
        <f t="shared" si="2"/>
        <v>0.02616485436</v>
      </c>
      <c r="E248" s="16">
        <f>'IG Raw Data'!C248</f>
        <v>2322</v>
      </c>
      <c r="F248" s="19">
        <f t="shared" si="3"/>
        <v>1.37295435</v>
      </c>
      <c r="G248" s="19">
        <f t="shared" si="4"/>
        <v>35.9231506</v>
      </c>
      <c r="H248" s="19">
        <f>'IG Raw Data'!D248</f>
        <v>3188</v>
      </c>
      <c r="I248" s="17">
        <f t="shared" si="5"/>
        <v>0.02368647717</v>
      </c>
      <c r="J248" s="20">
        <f>'IG Raw Data'!E248</f>
        <v>55</v>
      </c>
      <c r="K248" s="22">
        <f t="shared" si="6"/>
        <v>154.5090909</v>
      </c>
      <c r="L248" s="22">
        <f>'IG Raw Data'!F248</f>
        <v>8498</v>
      </c>
    </row>
    <row r="249">
      <c r="A249" s="11">
        <f>'IG Raw Data'!A249</f>
        <v>45905</v>
      </c>
      <c r="B249" s="14">
        <f t="shared" si="1"/>
        <v>9</v>
      </c>
      <c r="C249" s="16">
        <f>'IG Raw Data'!B249</f>
        <v>90562</v>
      </c>
      <c r="D249" s="17">
        <f t="shared" si="2"/>
        <v>0.0197765067</v>
      </c>
      <c r="E249" s="16">
        <f>'IG Raw Data'!C249</f>
        <v>1791</v>
      </c>
      <c r="F249" s="19">
        <f t="shared" si="3"/>
        <v>1.767727527</v>
      </c>
      <c r="G249" s="19">
        <f t="shared" si="4"/>
        <v>34.95947528</v>
      </c>
      <c r="H249" s="19">
        <f>'IG Raw Data'!D249</f>
        <v>3166</v>
      </c>
      <c r="I249" s="17">
        <f t="shared" si="5"/>
        <v>0.01786711334</v>
      </c>
      <c r="J249" s="20">
        <f>'IG Raw Data'!E249</f>
        <v>32</v>
      </c>
      <c r="K249" s="22">
        <f t="shared" si="6"/>
        <v>195.1875</v>
      </c>
      <c r="L249" s="22">
        <f>'IG Raw Data'!F249</f>
        <v>6246</v>
      </c>
    </row>
    <row r="250">
      <c r="A250" s="11">
        <f>'IG Raw Data'!A250</f>
        <v>45906</v>
      </c>
      <c r="B250" s="14">
        <f t="shared" si="1"/>
        <v>9</v>
      </c>
      <c r="C250" s="16">
        <f>'IG Raw Data'!B250</f>
        <v>31457</v>
      </c>
      <c r="D250" s="17">
        <f t="shared" si="2"/>
        <v>0.02447785866</v>
      </c>
      <c r="E250" s="16">
        <f>'IG Raw Data'!C250</f>
        <v>770</v>
      </c>
      <c r="F250" s="19">
        <f t="shared" si="3"/>
        <v>2.02987013</v>
      </c>
      <c r="G250" s="19">
        <f t="shared" si="4"/>
        <v>49.68687415</v>
      </c>
      <c r="H250" s="19">
        <f>'IG Raw Data'!D250</f>
        <v>1563</v>
      </c>
      <c r="I250" s="17">
        <f t="shared" si="5"/>
        <v>0.01428571429</v>
      </c>
      <c r="J250" s="20">
        <f>'IG Raw Data'!E250</f>
        <v>11</v>
      </c>
      <c r="K250" s="22">
        <f t="shared" si="6"/>
        <v>182.8181818</v>
      </c>
      <c r="L250" s="22">
        <f>'IG Raw Data'!F250</f>
        <v>2011</v>
      </c>
    </row>
    <row r="251">
      <c r="A251" s="11">
        <f>'IG Raw Data'!A251</f>
        <v>45907</v>
      </c>
      <c r="B251" s="14">
        <f t="shared" si="1"/>
        <v>9</v>
      </c>
      <c r="C251" s="16">
        <f>'IG Raw Data'!B251</f>
        <v>16887</v>
      </c>
      <c r="D251" s="17">
        <f t="shared" si="2"/>
        <v>0.01172499556</v>
      </c>
      <c r="E251" s="16">
        <f>'IG Raw Data'!C251</f>
        <v>198</v>
      </c>
      <c r="F251" s="19">
        <f t="shared" si="3"/>
        <v>1.843434343</v>
      </c>
      <c r="G251" s="19">
        <f t="shared" si="4"/>
        <v>21.61425949</v>
      </c>
      <c r="H251" s="19">
        <f>'IG Raw Data'!D251</f>
        <v>365</v>
      </c>
      <c r="I251" s="17">
        <f t="shared" si="5"/>
        <v>0.0101010101</v>
      </c>
      <c r="J251" s="20">
        <f>'IG Raw Data'!E251</f>
        <v>2</v>
      </c>
      <c r="K251" s="22">
        <f t="shared" si="6"/>
        <v>179</v>
      </c>
      <c r="L251" s="22">
        <f>'IG Raw Data'!F251</f>
        <v>358</v>
      </c>
    </row>
    <row r="252">
      <c r="A252" s="11">
        <f>'IG Raw Data'!A252</f>
        <v>45908</v>
      </c>
      <c r="B252" s="14">
        <f t="shared" si="1"/>
        <v>9</v>
      </c>
      <c r="C252" s="16">
        <f>'IG Raw Data'!B252</f>
        <v>52594</v>
      </c>
      <c r="D252" s="17">
        <f t="shared" si="2"/>
        <v>0.01138913184</v>
      </c>
      <c r="E252" s="16">
        <f>'IG Raw Data'!C252</f>
        <v>599</v>
      </c>
      <c r="F252" s="19">
        <f t="shared" si="3"/>
        <v>1.823038397</v>
      </c>
      <c r="G252" s="19">
        <f t="shared" si="4"/>
        <v>20.76282466</v>
      </c>
      <c r="H252" s="19">
        <f>'IG Raw Data'!D252</f>
        <v>1092</v>
      </c>
      <c r="I252" s="17">
        <f t="shared" si="5"/>
        <v>0.02504173623</v>
      </c>
      <c r="J252" s="20">
        <f>'IG Raw Data'!E252</f>
        <v>15</v>
      </c>
      <c r="K252" s="22">
        <f t="shared" si="6"/>
        <v>148.3333333</v>
      </c>
      <c r="L252" s="22">
        <f>'IG Raw Data'!F252</f>
        <v>2225</v>
      </c>
    </row>
    <row r="253">
      <c r="A253" s="11">
        <f>'IG Raw Data'!A253</f>
        <v>45909</v>
      </c>
      <c r="B253" s="14">
        <f t="shared" si="1"/>
        <v>9</v>
      </c>
      <c r="C253" s="16">
        <f>'IG Raw Data'!B253</f>
        <v>16880</v>
      </c>
      <c r="D253" s="17">
        <f t="shared" si="2"/>
        <v>0.02227488152</v>
      </c>
      <c r="E253" s="16">
        <f>'IG Raw Data'!C253</f>
        <v>376</v>
      </c>
      <c r="F253" s="19">
        <f t="shared" si="3"/>
        <v>1.268617021</v>
      </c>
      <c r="G253" s="19">
        <f t="shared" si="4"/>
        <v>28.25829384</v>
      </c>
      <c r="H253" s="19">
        <f>'IG Raw Data'!D253</f>
        <v>477</v>
      </c>
      <c r="I253" s="17">
        <f t="shared" si="5"/>
        <v>0.01329787234</v>
      </c>
      <c r="J253" s="20">
        <f>'IG Raw Data'!E253</f>
        <v>5</v>
      </c>
      <c r="K253" s="22">
        <f t="shared" si="6"/>
        <v>180.8</v>
      </c>
      <c r="L253" s="22">
        <f>'IG Raw Data'!F253</f>
        <v>904</v>
      </c>
    </row>
    <row r="254">
      <c r="A254" s="11">
        <f>'IG Raw Data'!A254</f>
        <v>45910</v>
      </c>
      <c r="B254" s="14">
        <f t="shared" si="1"/>
        <v>9</v>
      </c>
      <c r="C254" s="16">
        <f>'IG Raw Data'!B254</f>
        <v>66692</v>
      </c>
      <c r="D254" s="17">
        <f t="shared" si="2"/>
        <v>0.01911773526</v>
      </c>
      <c r="E254" s="16">
        <f>'IG Raw Data'!C254</f>
        <v>1275</v>
      </c>
      <c r="F254" s="19">
        <f t="shared" si="3"/>
        <v>1.709803922</v>
      </c>
      <c r="G254" s="19">
        <f t="shared" si="4"/>
        <v>32.68757872</v>
      </c>
      <c r="H254" s="19">
        <f>'IG Raw Data'!D254</f>
        <v>2180</v>
      </c>
      <c r="I254" s="17">
        <f t="shared" si="5"/>
        <v>0.01647058824</v>
      </c>
      <c r="J254" s="20">
        <f>'IG Raw Data'!E254</f>
        <v>21</v>
      </c>
      <c r="K254" s="22">
        <f t="shared" si="6"/>
        <v>150.2857143</v>
      </c>
      <c r="L254" s="22">
        <f>'IG Raw Data'!F254</f>
        <v>3156</v>
      </c>
    </row>
    <row r="255">
      <c r="A255" s="11">
        <f>'IG Raw Data'!A255</f>
        <v>45911</v>
      </c>
      <c r="B255" s="14">
        <f t="shared" si="1"/>
        <v>9</v>
      </c>
      <c r="C255" s="16">
        <f>'IG Raw Data'!B255</f>
        <v>61970</v>
      </c>
      <c r="D255" s="17">
        <f t="shared" si="2"/>
        <v>0.01032757786</v>
      </c>
      <c r="E255" s="16">
        <f>'IG Raw Data'!C255</f>
        <v>640</v>
      </c>
      <c r="F255" s="19">
        <f t="shared" si="3"/>
        <v>1.7359375</v>
      </c>
      <c r="G255" s="19">
        <f t="shared" si="4"/>
        <v>17.92802969</v>
      </c>
      <c r="H255" s="19">
        <f>'IG Raw Data'!D255</f>
        <v>1111</v>
      </c>
      <c r="I255" s="17">
        <f t="shared" si="5"/>
        <v>0.021875</v>
      </c>
      <c r="J255" s="20">
        <f>'IG Raw Data'!E255</f>
        <v>14</v>
      </c>
      <c r="K255" s="22">
        <f t="shared" si="6"/>
        <v>200.5714286</v>
      </c>
      <c r="L255" s="22">
        <f>'IG Raw Data'!F255</f>
        <v>2808</v>
      </c>
    </row>
    <row r="256">
      <c r="A256" s="11">
        <f>'IG Raw Data'!A256</f>
        <v>45912</v>
      </c>
      <c r="B256" s="14">
        <f t="shared" si="1"/>
        <v>9</v>
      </c>
      <c r="C256" s="16">
        <f>'IG Raw Data'!B256</f>
        <v>48632</v>
      </c>
      <c r="D256" s="17">
        <f t="shared" si="2"/>
        <v>0.01441437736</v>
      </c>
      <c r="E256" s="16">
        <f>'IG Raw Data'!C256</f>
        <v>701</v>
      </c>
      <c r="F256" s="19">
        <f t="shared" si="3"/>
        <v>1.510699001</v>
      </c>
      <c r="G256" s="19">
        <f t="shared" si="4"/>
        <v>21.77578549</v>
      </c>
      <c r="H256" s="19">
        <f>'IG Raw Data'!D256</f>
        <v>1059</v>
      </c>
      <c r="I256" s="17">
        <f t="shared" si="5"/>
        <v>0.01854493581</v>
      </c>
      <c r="J256" s="20">
        <f>'IG Raw Data'!E256</f>
        <v>13</v>
      </c>
      <c r="K256" s="22">
        <f t="shared" si="6"/>
        <v>188.2307692</v>
      </c>
      <c r="L256" s="22">
        <f>'IG Raw Data'!F256</f>
        <v>2447</v>
      </c>
    </row>
    <row r="257">
      <c r="A257" s="11">
        <f>'IG Raw Data'!A257</f>
        <v>45913</v>
      </c>
      <c r="B257" s="14">
        <f t="shared" si="1"/>
        <v>9</v>
      </c>
      <c r="C257" s="16">
        <f>'IG Raw Data'!B257</f>
        <v>91672</v>
      </c>
      <c r="D257" s="17">
        <f t="shared" si="2"/>
        <v>0.01504276115</v>
      </c>
      <c r="E257" s="16">
        <f>'IG Raw Data'!C257</f>
        <v>1379</v>
      </c>
      <c r="F257" s="19">
        <f t="shared" si="3"/>
        <v>1.131979695</v>
      </c>
      <c r="G257" s="19">
        <f t="shared" si="4"/>
        <v>17.02810018</v>
      </c>
      <c r="H257" s="19">
        <f>'IG Raw Data'!D257</f>
        <v>1561</v>
      </c>
      <c r="I257" s="17">
        <f t="shared" si="5"/>
        <v>0.02538071066</v>
      </c>
      <c r="J257" s="20">
        <f>'IG Raw Data'!E257</f>
        <v>35</v>
      </c>
      <c r="K257" s="22">
        <f t="shared" si="6"/>
        <v>155.6</v>
      </c>
      <c r="L257" s="22">
        <f>'IG Raw Data'!F257</f>
        <v>5446</v>
      </c>
    </row>
    <row r="258">
      <c r="A258" s="11">
        <f>'IG Raw Data'!A258</f>
        <v>45914</v>
      </c>
      <c r="B258" s="14">
        <f t="shared" si="1"/>
        <v>9</v>
      </c>
      <c r="C258" s="16">
        <f>'IG Raw Data'!B258</f>
        <v>81449</v>
      </c>
      <c r="D258" s="17">
        <f t="shared" si="2"/>
        <v>0.01874792815</v>
      </c>
      <c r="E258" s="16">
        <f>'IG Raw Data'!C258</f>
        <v>1527</v>
      </c>
      <c r="F258" s="19">
        <f t="shared" si="3"/>
        <v>1.419122462</v>
      </c>
      <c r="G258" s="19">
        <f t="shared" si="4"/>
        <v>26.60560596</v>
      </c>
      <c r="H258" s="19">
        <f>'IG Raw Data'!D258</f>
        <v>2167</v>
      </c>
      <c r="I258" s="17">
        <f t="shared" si="5"/>
        <v>0.02685003274</v>
      </c>
      <c r="J258" s="20">
        <f>'IG Raw Data'!E258</f>
        <v>41</v>
      </c>
      <c r="K258" s="22">
        <f t="shared" si="6"/>
        <v>167.3902439</v>
      </c>
      <c r="L258" s="22">
        <f>'IG Raw Data'!F258</f>
        <v>6863</v>
      </c>
    </row>
    <row r="259">
      <c r="A259" s="11">
        <f>'IG Raw Data'!A259</f>
        <v>45915</v>
      </c>
      <c r="B259" s="14">
        <f t="shared" si="1"/>
        <v>9</v>
      </c>
      <c r="C259" s="16">
        <f>'IG Raw Data'!B259</f>
        <v>51464</v>
      </c>
      <c r="D259" s="17">
        <f t="shared" si="2"/>
        <v>0.01150318669</v>
      </c>
      <c r="E259" s="16">
        <f>'IG Raw Data'!C259</f>
        <v>592</v>
      </c>
      <c r="F259" s="19">
        <f t="shared" si="3"/>
        <v>1.498310811</v>
      </c>
      <c r="G259" s="19">
        <f t="shared" si="4"/>
        <v>17.23534898</v>
      </c>
      <c r="H259" s="19">
        <f>'IG Raw Data'!D259</f>
        <v>887</v>
      </c>
      <c r="I259" s="17">
        <f t="shared" si="5"/>
        <v>0.0152027027</v>
      </c>
      <c r="J259" s="20">
        <f>'IG Raw Data'!E259</f>
        <v>9</v>
      </c>
      <c r="K259" s="22">
        <f t="shared" si="6"/>
        <v>138</v>
      </c>
      <c r="L259" s="22">
        <f>'IG Raw Data'!F259</f>
        <v>1242</v>
      </c>
    </row>
    <row r="260">
      <c r="A260" s="11">
        <f>'IG Raw Data'!A260</f>
        <v>45916</v>
      </c>
      <c r="B260" s="14">
        <f t="shared" si="1"/>
        <v>9</v>
      </c>
      <c r="C260" s="16">
        <f>'IG Raw Data'!B260</f>
        <v>52154</v>
      </c>
      <c r="D260" s="17">
        <f t="shared" si="2"/>
        <v>0.02868428117</v>
      </c>
      <c r="E260" s="16">
        <f>'IG Raw Data'!C260</f>
        <v>1496</v>
      </c>
      <c r="F260" s="19">
        <f t="shared" si="3"/>
        <v>1.553475936</v>
      </c>
      <c r="G260" s="19">
        <f t="shared" si="4"/>
        <v>44.56034053</v>
      </c>
      <c r="H260" s="19">
        <f>'IG Raw Data'!D260</f>
        <v>2324</v>
      </c>
      <c r="I260" s="17">
        <f t="shared" si="5"/>
        <v>0.01336898396</v>
      </c>
      <c r="J260" s="20">
        <f>'IG Raw Data'!E260</f>
        <v>20</v>
      </c>
      <c r="K260" s="22">
        <f t="shared" si="6"/>
        <v>179.65</v>
      </c>
      <c r="L260" s="22">
        <f>'IG Raw Data'!F260</f>
        <v>3593</v>
      </c>
    </row>
    <row r="261">
      <c r="A261" s="11">
        <f>'IG Raw Data'!A261</f>
        <v>45917</v>
      </c>
      <c r="B261" s="14">
        <f t="shared" si="1"/>
        <v>9</v>
      </c>
      <c r="C261" s="16">
        <f>'IG Raw Data'!B261</f>
        <v>31475</v>
      </c>
      <c r="D261" s="17">
        <f t="shared" si="2"/>
        <v>0.01687053217</v>
      </c>
      <c r="E261" s="16">
        <f>'IG Raw Data'!C261</f>
        <v>531</v>
      </c>
      <c r="F261" s="19">
        <f t="shared" si="3"/>
        <v>1.920903955</v>
      </c>
      <c r="G261" s="19">
        <f t="shared" si="4"/>
        <v>32.40667196</v>
      </c>
      <c r="H261" s="19">
        <f>'IG Raw Data'!D261</f>
        <v>1020</v>
      </c>
      <c r="I261" s="17">
        <f t="shared" si="5"/>
        <v>0.02071563089</v>
      </c>
      <c r="J261" s="20">
        <f>'IG Raw Data'!E261</f>
        <v>11</v>
      </c>
      <c r="K261" s="22">
        <f t="shared" si="6"/>
        <v>130.2727273</v>
      </c>
      <c r="L261" s="22">
        <f>'IG Raw Data'!F261</f>
        <v>1433</v>
      </c>
    </row>
    <row r="262">
      <c r="A262" s="11">
        <f>'IG Raw Data'!A262</f>
        <v>45918</v>
      </c>
      <c r="B262" s="14">
        <f t="shared" si="1"/>
        <v>9</v>
      </c>
      <c r="C262" s="16">
        <f>'IG Raw Data'!B262</f>
        <v>12277</v>
      </c>
      <c r="D262" s="17">
        <f t="shared" si="2"/>
        <v>0.0144172029</v>
      </c>
      <c r="E262" s="16">
        <f>'IG Raw Data'!C262</f>
        <v>177</v>
      </c>
      <c r="F262" s="19">
        <f t="shared" si="3"/>
        <v>1.661016949</v>
      </c>
      <c r="G262" s="19">
        <f t="shared" si="4"/>
        <v>23.94721838</v>
      </c>
      <c r="H262" s="19">
        <f>'IG Raw Data'!D262</f>
        <v>294</v>
      </c>
      <c r="I262" s="17">
        <f t="shared" si="5"/>
        <v>0.01694915254</v>
      </c>
      <c r="J262" s="20">
        <f>'IG Raw Data'!E262</f>
        <v>3</v>
      </c>
      <c r="K262" s="22">
        <f t="shared" si="6"/>
        <v>203</v>
      </c>
      <c r="L262" s="22">
        <f>'IG Raw Data'!F262</f>
        <v>609</v>
      </c>
    </row>
    <row r="263">
      <c r="A263" s="11">
        <f>'IG Raw Data'!A263</f>
        <v>45919</v>
      </c>
      <c r="B263" s="14">
        <f t="shared" si="1"/>
        <v>9</v>
      </c>
      <c r="C263" s="16">
        <f>'IG Raw Data'!B263</f>
        <v>13766</v>
      </c>
      <c r="D263" s="17">
        <f t="shared" si="2"/>
        <v>0.0103152695</v>
      </c>
      <c r="E263" s="16">
        <f>'IG Raw Data'!C263</f>
        <v>142</v>
      </c>
      <c r="F263" s="19">
        <f t="shared" si="3"/>
        <v>1.866197183</v>
      </c>
      <c r="G263" s="19">
        <f t="shared" si="4"/>
        <v>19.25032689</v>
      </c>
      <c r="H263" s="19">
        <f>'IG Raw Data'!D263</f>
        <v>265</v>
      </c>
      <c r="I263" s="17">
        <f t="shared" si="5"/>
        <v>0.01408450704</v>
      </c>
      <c r="J263" s="20">
        <f>'IG Raw Data'!E263</f>
        <v>2</v>
      </c>
      <c r="K263" s="22">
        <f t="shared" si="6"/>
        <v>132.5</v>
      </c>
      <c r="L263" s="22">
        <f>'IG Raw Data'!F263</f>
        <v>265</v>
      </c>
    </row>
    <row r="264">
      <c r="A264" s="11">
        <f>'IG Raw Data'!A264</f>
        <v>45920</v>
      </c>
      <c r="B264" s="14">
        <f t="shared" si="1"/>
        <v>9</v>
      </c>
      <c r="C264" s="16">
        <f>'IG Raw Data'!B264</f>
        <v>10679</v>
      </c>
      <c r="D264" s="17">
        <f t="shared" si="2"/>
        <v>0.01460810937</v>
      </c>
      <c r="E264" s="16">
        <f>'IG Raw Data'!C264</f>
        <v>156</v>
      </c>
      <c r="F264" s="19">
        <f t="shared" si="3"/>
        <v>2.025641026</v>
      </c>
      <c r="G264" s="19">
        <f t="shared" si="4"/>
        <v>29.59078565</v>
      </c>
      <c r="H264" s="19">
        <f>'IG Raw Data'!D264</f>
        <v>316</v>
      </c>
      <c r="I264" s="17">
        <f t="shared" si="5"/>
        <v>0.01923076923</v>
      </c>
      <c r="J264" s="20">
        <f>'IG Raw Data'!E264</f>
        <v>3</v>
      </c>
      <c r="K264" s="22">
        <f t="shared" si="6"/>
        <v>138</v>
      </c>
      <c r="L264" s="22">
        <f>'IG Raw Data'!F264</f>
        <v>414</v>
      </c>
    </row>
    <row r="265">
      <c r="A265" s="11">
        <f>'IG Raw Data'!A265</f>
        <v>45921</v>
      </c>
      <c r="B265" s="14">
        <f t="shared" si="1"/>
        <v>9</v>
      </c>
      <c r="C265" s="16">
        <f>'IG Raw Data'!B265</f>
        <v>83585</v>
      </c>
      <c r="D265" s="17">
        <f t="shared" si="2"/>
        <v>0.01725189926</v>
      </c>
      <c r="E265" s="16">
        <f>'IG Raw Data'!C265</f>
        <v>1442</v>
      </c>
      <c r="F265" s="19">
        <f t="shared" si="3"/>
        <v>1.185159501</v>
      </c>
      <c r="G265" s="19">
        <f t="shared" si="4"/>
        <v>20.44625232</v>
      </c>
      <c r="H265" s="19">
        <f>'IG Raw Data'!D265</f>
        <v>1709</v>
      </c>
      <c r="I265" s="17">
        <f t="shared" si="5"/>
        <v>0.01664355062</v>
      </c>
      <c r="J265" s="20">
        <f>'IG Raw Data'!E265</f>
        <v>24</v>
      </c>
      <c r="K265" s="22">
        <f t="shared" si="6"/>
        <v>191</v>
      </c>
      <c r="L265" s="22">
        <f>'IG Raw Data'!F265</f>
        <v>4584</v>
      </c>
    </row>
    <row r="266">
      <c r="A266" s="11">
        <f>'IG Raw Data'!A266</f>
        <v>45922</v>
      </c>
      <c r="B266" s="14">
        <f t="shared" si="1"/>
        <v>9</v>
      </c>
      <c r="C266" s="16">
        <f>'IG Raw Data'!B266</f>
        <v>85216</v>
      </c>
      <c r="D266" s="17">
        <f t="shared" si="2"/>
        <v>0.01892837026</v>
      </c>
      <c r="E266" s="16">
        <f>'IG Raw Data'!C266</f>
        <v>1613</v>
      </c>
      <c r="F266" s="19">
        <f t="shared" si="3"/>
        <v>1.892746435</v>
      </c>
      <c r="G266" s="19">
        <f t="shared" si="4"/>
        <v>35.82660533</v>
      </c>
      <c r="H266" s="19">
        <f>'IG Raw Data'!D266</f>
        <v>3053</v>
      </c>
      <c r="I266" s="17">
        <f t="shared" si="5"/>
        <v>0.01921884687</v>
      </c>
      <c r="J266" s="20">
        <f>'IG Raw Data'!E266</f>
        <v>31</v>
      </c>
      <c r="K266" s="22">
        <f t="shared" si="6"/>
        <v>201.6451613</v>
      </c>
      <c r="L266" s="22">
        <f>'IG Raw Data'!F266</f>
        <v>6251</v>
      </c>
    </row>
    <row r="267">
      <c r="A267" s="11">
        <f>'IG Raw Data'!A267</f>
        <v>45923</v>
      </c>
      <c r="B267" s="14">
        <f t="shared" si="1"/>
        <v>9</v>
      </c>
      <c r="C267" s="16">
        <f>'IG Raw Data'!B267</f>
        <v>24444</v>
      </c>
      <c r="D267" s="17">
        <f t="shared" si="2"/>
        <v>0.02949599084</v>
      </c>
      <c r="E267" s="16">
        <f>'IG Raw Data'!C267</f>
        <v>721</v>
      </c>
      <c r="F267" s="19">
        <f t="shared" si="3"/>
        <v>1.438280166</v>
      </c>
      <c r="G267" s="19">
        <f t="shared" si="4"/>
        <v>42.42349861</v>
      </c>
      <c r="H267" s="19">
        <f>'IG Raw Data'!D267</f>
        <v>1037</v>
      </c>
      <c r="I267" s="17">
        <f t="shared" si="5"/>
        <v>0.01386962552</v>
      </c>
      <c r="J267" s="20">
        <f>'IG Raw Data'!E267</f>
        <v>10</v>
      </c>
      <c r="K267" s="22">
        <f t="shared" si="6"/>
        <v>217.9</v>
      </c>
      <c r="L267" s="22">
        <f>'IG Raw Data'!F267</f>
        <v>2179</v>
      </c>
    </row>
    <row r="268">
      <c r="A268" s="11">
        <f>'IG Raw Data'!A268</f>
        <v>45924</v>
      </c>
      <c r="B268" s="14">
        <f t="shared" si="1"/>
        <v>9</v>
      </c>
      <c r="C268" s="16">
        <f>'IG Raw Data'!B268</f>
        <v>51143</v>
      </c>
      <c r="D268" s="17">
        <f t="shared" si="2"/>
        <v>0.03365074399</v>
      </c>
      <c r="E268" s="16">
        <f>'IG Raw Data'!C268</f>
        <v>1721</v>
      </c>
      <c r="F268" s="19">
        <f t="shared" si="3"/>
        <v>1.082510169</v>
      </c>
      <c r="G268" s="19">
        <f t="shared" si="4"/>
        <v>36.42727255</v>
      </c>
      <c r="H268" s="19">
        <f>'IG Raw Data'!D268</f>
        <v>1863</v>
      </c>
      <c r="I268" s="17">
        <f t="shared" si="5"/>
        <v>0.02149912841</v>
      </c>
      <c r="J268" s="20">
        <f>'IG Raw Data'!E268</f>
        <v>37</v>
      </c>
      <c r="K268" s="22">
        <f t="shared" si="6"/>
        <v>108.1351351</v>
      </c>
      <c r="L268" s="22">
        <f>'IG Raw Data'!F268</f>
        <v>4001</v>
      </c>
    </row>
    <row r="269">
      <c r="A269" s="11">
        <f>'IG Raw Data'!A269</f>
        <v>45925</v>
      </c>
      <c r="B269" s="14">
        <f t="shared" si="1"/>
        <v>9</v>
      </c>
      <c r="C269" s="16">
        <f>'IG Raw Data'!B269</f>
        <v>66440</v>
      </c>
      <c r="D269" s="17">
        <f t="shared" si="2"/>
        <v>0.01306441902</v>
      </c>
      <c r="E269" s="16">
        <f>'IG Raw Data'!C269</f>
        <v>868</v>
      </c>
      <c r="F269" s="19">
        <f t="shared" si="3"/>
        <v>1.964285714</v>
      </c>
      <c r="G269" s="19">
        <f t="shared" si="4"/>
        <v>25.66225166</v>
      </c>
      <c r="H269" s="19">
        <f>'IG Raw Data'!D269</f>
        <v>1705</v>
      </c>
      <c r="I269" s="17">
        <f t="shared" si="5"/>
        <v>0.01497695853</v>
      </c>
      <c r="J269" s="20">
        <f>'IG Raw Data'!E269</f>
        <v>13</v>
      </c>
      <c r="K269" s="22">
        <f t="shared" si="6"/>
        <v>122</v>
      </c>
      <c r="L269" s="22">
        <f>'IG Raw Data'!F269</f>
        <v>1586</v>
      </c>
    </row>
    <row r="270">
      <c r="A270" s="11">
        <f>'IG Raw Data'!A270</f>
        <v>45926</v>
      </c>
      <c r="B270" s="14">
        <f t="shared" si="1"/>
        <v>9</v>
      </c>
      <c r="C270" s="16">
        <f>'IG Raw Data'!B270</f>
        <v>65236</v>
      </c>
      <c r="D270" s="17">
        <f t="shared" si="2"/>
        <v>0.02460297995</v>
      </c>
      <c r="E270" s="16">
        <f>'IG Raw Data'!C270</f>
        <v>1605</v>
      </c>
      <c r="F270" s="19">
        <f t="shared" si="3"/>
        <v>1.61682243</v>
      </c>
      <c r="G270" s="19">
        <f t="shared" si="4"/>
        <v>39.77864983</v>
      </c>
      <c r="H270" s="19">
        <f>'IG Raw Data'!D270</f>
        <v>2595</v>
      </c>
      <c r="I270" s="17">
        <f t="shared" si="5"/>
        <v>0.0230529595</v>
      </c>
      <c r="J270" s="20">
        <f>'IG Raw Data'!E270</f>
        <v>37</v>
      </c>
      <c r="K270" s="22">
        <f t="shared" si="6"/>
        <v>166.3513514</v>
      </c>
      <c r="L270" s="22">
        <f>'IG Raw Data'!F270</f>
        <v>6155</v>
      </c>
    </row>
    <row r="271">
      <c r="A271" s="11">
        <f>'IG Raw Data'!A271</f>
        <v>45927</v>
      </c>
      <c r="B271" s="14">
        <f t="shared" si="1"/>
        <v>9</v>
      </c>
      <c r="C271" s="16">
        <f>'IG Raw Data'!B271</f>
        <v>43894</v>
      </c>
      <c r="D271" s="17">
        <f t="shared" si="2"/>
        <v>0.01430719461</v>
      </c>
      <c r="E271" s="16">
        <f>'IG Raw Data'!C271</f>
        <v>628</v>
      </c>
      <c r="F271" s="19">
        <f t="shared" si="3"/>
        <v>1.503184713</v>
      </c>
      <c r="G271" s="19">
        <f t="shared" si="4"/>
        <v>21.50635622</v>
      </c>
      <c r="H271" s="19">
        <f>'IG Raw Data'!D271</f>
        <v>944</v>
      </c>
      <c r="I271" s="17">
        <f t="shared" si="5"/>
        <v>0.02070063694</v>
      </c>
      <c r="J271" s="20">
        <f>'IG Raw Data'!E271</f>
        <v>13</v>
      </c>
      <c r="K271" s="22">
        <f t="shared" si="6"/>
        <v>196.0769231</v>
      </c>
      <c r="L271" s="22">
        <f>'IG Raw Data'!F271</f>
        <v>2549</v>
      </c>
    </row>
    <row r="272">
      <c r="A272" s="11">
        <f>'IG Raw Data'!A272</f>
        <v>45928</v>
      </c>
      <c r="B272" s="14">
        <f t="shared" si="1"/>
        <v>9</v>
      </c>
      <c r="C272" s="16">
        <f>'IG Raw Data'!B272</f>
        <v>14553</v>
      </c>
      <c r="D272" s="17">
        <f t="shared" si="2"/>
        <v>0.01566687281</v>
      </c>
      <c r="E272" s="16">
        <f>'IG Raw Data'!C272</f>
        <v>228</v>
      </c>
      <c r="F272" s="19">
        <f t="shared" si="3"/>
        <v>1.192982456</v>
      </c>
      <c r="G272" s="19">
        <f t="shared" si="4"/>
        <v>18.6903044</v>
      </c>
      <c r="H272" s="19">
        <f>'IG Raw Data'!D272</f>
        <v>272</v>
      </c>
      <c r="I272" s="17">
        <f t="shared" si="5"/>
        <v>0.02192982456</v>
      </c>
      <c r="J272" s="20">
        <f>'IG Raw Data'!E272</f>
        <v>5</v>
      </c>
      <c r="K272" s="22">
        <f t="shared" si="6"/>
        <v>118.6</v>
      </c>
      <c r="L272" s="22">
        <f>'IG Raw Data'!F272</f>
        <v>593</v>
      </c>
    </row>
    <row r="273">
      <c r="A273" s="11">
        <f>'IG Raw Data'!A273</f>
        <v>45929</v>
      </c>
      <c r="B273" s="14">
        <f t="shared" si="1"/>
        <v>9</v>
      </c>
      <c r="C273" s="16">
        <f>'IG Raw Data'!B273</f>
        <v>28284</v>
      </c>
      <c r="D273" s="17">
        <f t="shared" si="2"/>
        <v>0.02623391317</v>
      </c>
      <c r="E273" s="16">
        <f>'IG Raw Data'!C273</f>
        <v>742</v>
      </c>
      <c r="F273" s="19">
        <f t="shared" si="3"/>
        <v>1.346361186</v>
      </c>
      <c r="G273" s="19">
        <f t="shared" si="4"/>
        <v>35.32032244</v>
      </c>
      <c r="H273" s="19">
        <f>'IG Raw Data'!D273</f>
        <v>999</v>
      </c>
      <c r="I273" s="17">
        <f t="shared" si="5"/>
        <v>0.01482479784</v>
      </c>
      <c r="J273" s="20">
        <f>'IG Raw Data'!E273</f>
        <v>11</v>
      </c>
      <c r="K273" s="22">
        <f t="shared" si="6"/>
        <v>124.2727273</v>
      </c>
      <c r="L273" s="22">
        <f>'IG Raw Data'!F273</f>
        <v>1367</v>
      </c>
    </row>
    <row r="274">
      <c r="A274" s="11">
        <f>'IG Raw Data'!A274</f>
        <v>45930</v>
      </c>
      <c r="B274" s="14">
        <f t="shared" si="1"/>
        <v>9</v>
      </c>
      <c r="C274" s="16">
        <f>'IG Raw Data'!B274</f>
        <v>42083</v>
      </c>
      <c r="D274" s="17">
        <f t="shared" si="2"/>
        <v>0.02471306703</v>
      </c>
      <c r="E274" s="16">
        <f>'IG Raw Data'!C274</f>
        <v>1040</v>
      </c>
      <c r="F274" s="19">
        <f t="shared" si="3"/>
        <v>1.552884615</v>
      </c>
      <c r="G274" s="19">
        <f t="shared" si="4"/>
        <v>38.3765416</v>
      </c>
      <c r="H274" s="19">
        <f>'IG Raw Data'!D274</f>
        <v>1615</v>
      </c>
      <c r="I274" s="17">
        <f t="shared" si="5"/>
        <v>0.01826923077</v>
      </c>
      <c r="J274" s="20">
        <f>'IG Raw Data'!E274</f>
        <v>19</v>
      </c>
      <c r="K274" s="22">
        <f t="shared" si="6"/>
        <v>112.6842105</v>
      </c>
      <c r="L274" s="22">
        <f>'IG Raw Data'!F274</f>
        <v>2141</v>
      </c>
    </row>
    <row r="275">
      <c r="A275" s="11">
        <f>'IG Raw Data'!A275</f>
        <v>45931</v>
      </c>
      <c r="B275" s="14">
        <f t="shared" si="1"/>
        <v>10</v>
      </c>
      <c r="C275" s="16">
        <f>'IG Raw Data'!B275</f>
        <v>61042</v>
      </c>
      <c r="D275" s="17">
        <f t="shared" si="2"/>
        <v>0.02737459454</v>
      </c>
      <c r="E275" s="16">
        <f>'IG Raw Data'!C275</f>
        <v>1671</v>
      </c>
      <c r="F275" s="19">
        <f t="shared" si="3"/>
        <v>1.60502693</v>
      </c>
      <c r="G275" s="19">
        <f t="shared" si="4"/>
        <v>43.93696144</v>
      </c>
      <c r="H275" s="19">
        <f>'IG Raw Data'!D275</f>
        <v>2682</v>
      </c>
      <c r="I275" s="17">
        <f t="shared" si="5"/>
        <v>0.01795332136</v>
      </c>
      <c r="J275" s="20">
        <f>'IG Raw Data'!E275</f>
        <v>30</v>
      </c>
      <c r="K275" s="22">
        <f t="shared" si="6"/>
        <v>204.3666667</v>
      </c>
      <c r="L275" s="22">
        <f>'IG Raw Data'!F275</f>
        <v>6131</v>
      </c>
    </row>
    <row r="276">
      <c r="A276" s="11">
        <f>'IG Raw Data'!A276</f>
        <v>45932</v>
      </c>
      <c r="B276" s="14">
        <f t="shared" si="1"/>
        <v>10</v>
      </c>
      <c r="C276" s="16">
        <f>'IG Raw Data'!B276</f>
        <v>76058</v>
      </c>
      <c r="D276" s="17">
        <f t="shared" si="2"/>
        <v>0.03104209945</v>
      </c>
      <c r="E276" s="16">
        <f>'IG Raw Data'!C276</f>
        <v>2361</v>
      </c>
      <c r="F276" s="19">
        <f t="shared" si="3"/>
        <v>1.42566709</v>
      </c>
      <c r="G276" s="19">
        <f t="shared" si="4"/>
        <v>44.2556996</v>
      </c>
      <c r="H276" s="19">
        <f>'IG Raw Data'!D276</f>
        <v>3366</v>
      </c>
      <c r="I276" s="17">
        <f t="shared" si="5"/>
        <v>0.02075391783</v>
      </c>
      <c r="J276" s="20">
        <f>'IG Raw Data'!E276</f>
        <v>49</v>
      </c>
      <c r="K276" s="22">
        <f t="shared" si="6"/>
        <v>100.3469388</v>
      </c>
      <c r="L276" s="22">
        <f>'IG Raw Data'!F276</f>
        <v>4917</v>
      </c>
    </row>
    <row r="277">
      <c r="A277" s="11">
        <f>'IG Raw Data'!A277</f>
        <v>45933</v>
      </c>
      <c r="B277" s="14">
        <f t="shared" si="1"/>
        <v>10</v>
      </c>
      <c r="C277" s="16">
        <f>'IG Raw Data'!B277</f>
        <v>92404</v>
      </c>
      <c r="D277" s="17">
        <f t="shared" si="2"/>
        <v>0.01949049825</v>
      </c>
      <c r="E277" s="16">
        <f>'IG Raw Data'!C277</f>
        <v>1801</v>
      </c>
      <c r="F277" s="19">
        <f t="shared" si="3"/>
        <v>1.036646308</v>
      </c>
      <c r="G277" s="19">
        <f t="shared" si="4"/>
        <v>20.20475304</v>
      </c>
      <c r="H277" s="19">
        <f>'IG Raw Data'!D277</f>
        <v>1867</v>
      </c>
      <c r="I277" s="17">
        <f t="shared" si="5"/>
        <v>0.0222098834</v>
      </c>
      <c r="J277" s="20">
        <f>'IG Raw Data'!E277</f>
        <v>40</v>
      </c>
      <c r="K277" s="22">
        <f t="shared" si="6"/>
        <v>184.175</v>
      </c>
      <c r="L277" s="22">
        <f>'IG Raw Data'!F277</f>
        <v>7367</v>
      </c>
    </row>
    <row r="278">
      <c r="A278" s="11">
        <f>'IG Raw Data'!A278</f>
        <v>45934</v>
      </c>
      <c r="B278" s="14">
        <f t="shared" si="1"/>
        <v>10</v>
      </c>
      <c r="C278" s="16">
        <f>'IG Raw Data'!B278</f>
        <v>87773</v>
      </c>
      <c r="D278" s="17">
        <f t="shared" si="2"/>
        <v>0.01658824468</v>
      </c>
      <c r="E278" s="16">
        <f>'IG Raw Data'!C278</f>
        <v>1456</v>
      </c>
      <c r="F278" s="19">
        <f t="shared" si="3"/>
        <v>1.497252747</v>
      </c>
      <c r="G278" s="19">
        <f t="shared" si="4"/>
        <v>24.83679491</v>
      </c>
      <c r="H278" s="19">
        <f>'IG Raw Data'!D278</f>
        <v>2180</v>
      </c>
      <c r="I278" s="17">
        <f t="shared" si="5"/>
        <v>0.02541208791</v>
      </c>
      <c r="J278" s="20">
        <f>'IG Raw Data'!E278</f>
        <v>37</v>
      </c>
      <c r="K278" s="22">
        <f t="shared" si="6"/>
        <v>194.7027027</v>
      </c>
      <c r="L278" s="22">
        <f>'IG Raw Data'!F278</f>
        <v>7204</v>
      </c>
    </row>
    <row r="279">
      <c r="A279" s="11">
        <f>'IG Raw Data'!A279</f>
        <v>45935</v>
      </c>
      <c r="B279" s="14">
        <f t="shared" si="1"/>
        <v>10</v>
      </c>
      <c r="C279" s="16">
        <f>'IG Raw Data'!B279</f>
        <v>45616</v>
      </c>
      <c r="D279" s="17">
        <f t="shared" si="2"/>
        <v>0.01832690284</v>
      </c>
      <c r="E279" s="16">
        <f>'IG Raw Data'!C279</f>
        <v>836</v>
      </c>
      <c r="F279" s="19">
        <f t="shared" si="3"/>
        <v>1.5</v>
      </c>
      <c r="G279" s="19">
        <f t="shared" si="4"/>
        <v>27.49035426</v>
      </c>
      <c r="H279" s="19">
        <f>'IG Raw Data'!D279</f>
        <v>1254</v>
      </c>
      <c r="I279" s="17">
        <f t="shared" si="5"/>
        <v>0.01794258373</v>
      </c>
      <c r="J279" s="20">
        <f>'IG Raw Data'!E279</f>
        <v>15</v>
      </c>
      <c r="K279" s="22">
        <f t="shared" si="6"/>
        <v>146.2</v>
      </c>
      <c r="L279" s="22">
        <f>'IG Raw Data'!F279</f>
        <v>2193</v>
      </c>
    </row>
    <row r="280">
      <c r="A280" s="11">
        <f>'IG Raw Data'!A280</f>
        <v>45936</v>
      </c>
      <c r="B280" s="14">
        <f t="shared" si="1"/>
        <v>10</v>
      </c>
      <c r="C280" s="16">
        <f>'IG Raw Data'!B280</f>
        <v>51574</v>
      </c>
      <c r="D280" s="17">
        <f t="shared" si="2"/>
        <v>0.02567185016</v>
      </c>
      <c r="E280" s="16">
        <f>'IG Raw Data'!C280</f>
        <v>1324</v>
      </c>
      <c r="F280" s="19">
        <f t="shared" si="3"/>
        <v>1.77265861</v>
      </c>
      <c r="G280" s="19">
        <f t="shared" si="4"/>
        <v>45.50742622</v>
      </c>
      <c r="H280" s="19">
        <f>'IG Raw Data'!D280</f>
        <v>2347</v>
      </c>
      <c r="I280" s="17">
        <f t="shared" si="5"/>
        <v>0.0166163142</v>
      </c>
      <c r="J280" s="20">
        <f>'IG Raw Data'!E280</f>
        <v>22</v>
      </c>
      <c r="K280" s="22">
        <f t="shared" si="6"/>
        <v>179.5909091</v>
      </c>
      <c r="L280" s="22">
        <f>'IG Raw Data'!F280</f>
        <v>3951</v>
      </c>
    </row>
    <row r="281">
      <c r="A281" s="11">
        <f>'IG Raw Data'!A281</f>
        <v>45937</v>
      </c>
      <c r="B281" s="14">
        <f t="shared" si="1"/>
        <v>10</v>
      </c>
      <c r="C281" s="16">
        <f>'IG Raw Data'!B281</f>
        <v>19918</v>
      </c>
      <c r="D281" s="17">
        <f t="shared" si="2"/>
        <v>0.02028316096</v>
      </c>
      <c r="E281" s="16">
        <f>'IG Raw Data'!C281</f>
        <v>404</v>
      </c>
      <c r="F281" s="19">
        <f t="shared" si="3"/>
        <v>1.207920792</v>
      </c>
      <c r="G281" s="19">
        <f t="shared" si="4"/>
        <v>24.50045185</v>
      </c>
      <c r="H281" s="19">
        <f>'IG Raw Data'!D281</f>
        <v>488</v>
      </c>
      <c r="I281" s="17">
        <f t="shared" si="5"/>
        <v>0.01237623762</v>
      </c>
      <c r="J281" s="20">
        <f>'IG Raw Data'!E281</f>
        <v>5</v>
      </c>
      <c r="K281" s="22">
        <f t="shared" si="6"/>
        <v>205.8</v>
      </c>
      <c r="L281" s="22">
        <f>'IG Raw Data'!F281</f>
        <v>1029</v>
      </c>
    </row>
    <row r="282">
      <c r="A282" s="11">
        <f>'IG Raw Data'!A282</f>
        <v>45938</v>
      </c>
      <c r="B282" s="14">
        <f t="shared" si="1"/>
        <v>10</v>
      </c>
      <c r="C282" s="16">
        <f>'IG Raw Data'!B282</f>
        <v>91666</v>
      </c>
      <c r="D282" s="17">
        <f t="shared" si="2"/>
        <v>0.01988741736</v>
      </c>
      <c r="E282" s="16">
        <f>'IG Raw Data'!C282</f>
        <v>1823</v>
      </c>
      <c r="F282" s="19">
        <f t="shared" si="3"/>
        <v>1.823916621</v>
      </c>
      <c r="G282" s="19">
        <f t="shared" si="4"/>
        <v>36.27299108</v>
      </c>
      <c r="H282" s="19">
        <f>'IG Raw Data'!D282</f>
        <v>3325</v>
      </c>
      <c r="I282" s="17">
        <f t="shared" si="5"/>
        <v>0.02139330773</v>
      </c>
      <c r="J282" s="20">
        <f>'IG Raw Data'!E282</f>
        <v>39</v>
      </c>
      <c r="K282" s="22">
        <f t="shared" si="6"/>
        <v>131.4615385</v>
      </c>
      <c r="L282" s="22">
        <f>'IG Raw Data'!F282</f>
        <v>5127</v>
      </c>
    </row>
    <row r="283">
      <c r="A283" s="11">
        <f>'IG Raw Data'!A283</f>
        <v>45939</v>
      </c>
      <c r="B283" s="14">
        <f t="shared" si="1"/>
        <v>10</v>
      </c>
      <c r="C283" s="16">
        <f>'IG Raw Data'!B283</f>
        <v>61157</v>
      </c>
      <c r="D283" s="17">
        <f t="shared" si="2"/>
        <v>0.01850973723</v>
      </c>
      <c r="E283" s="16">
        <f>'IG Raw Data'!C283</f>
        <v>1132</v>
      </c>
      <c r="F283" s="19">
        <f t="shared" si="3"/>
        <v>1.248233216</v>
      </c>
      <c r="G283" s="19">
        <f t="shared" si="4"/>
        <v>23.10446883</v>
      </c>
      <c r="H283" s="19">
        <f>'IG Raw Data'!D283</f>
        <v>1413</v>
      </c>
      <c r="I283" s="17">
        <f t="shared" si="5"/>
        <v>0.01325088339</v>
      </c>
      <c r="J283" s="20">
        <f>'IG Raw Data'!E283</f>
        <v>15</v>
      </c>
      <c r="K283" s="22">
        <f t="shared" si="6"/>
        <v>172.3333333</v>
      </c>
      <c r="L283" s="22">
        <f>'IG Raw Data'!F283</f>
        <v>2585</v>
      </c>
    </row>
    <row r="284">
      <c r="A284" s="11">
        <f>'IG Raw Data'!A284</f>
        <v>45940</v>
      </c>
      <c r="B284" s="14">
        <f t="shared" si="1"/>
        <v>10</v>
      </c>
      <c r="C284" s="16">
        <f>'IG Raw Data'!B284</f>
        <v>82264</v>
      </c>
      <c r="D284" s="17">
        <f t="shared" si="2"/>
        <v>0.01760186716</v>
      </c>
      <c r="E284" s="16">
        <f>'IG Raw Data'!C284</f>
        <v>1448</v>
      </c>
      <c r="F284" s="19">
        <f t="shared" si="3"/>
        <v>1.220994475</v>
      </c>
      <c r="G284" s="19">
        <f t="shared" si="4"/>
        <v>21.49178255</v>
      </c>
      <c r="H284" s="19">
        <f>'IG Raw Data'!D284</f>
        <v>1768</v>
      </c>
      <c r="I284" s="17">
        <f t="shared" si="5"/>
        <v>0.02693370166</v>
      </c>
      <c r="J284" s="20">
        <f>'IG Raw Data'!E284</f>
        <v>39</v>
      </c>
      <c r="K284" s="22">
        <f t="shared" si="6"/>
        <v>126.1794872</v>
      </c>
      <c r="L284" s="22">
        <f>'IG Raw Data'!F284</f>
        <v>4921</v>
      </c>
    </row>
    <row r="285">
      <c r="A285" s="11">
        <f>'IG Raw Data'!A285</f>
        <v>45941</v>
      </c>
      <c r="B285" s="14">
        <f t="shared" si="1"/>
        <v>10</v>
      </c>
      <c r="C285" s="16">
        <f>'IG Raw Data'!B285</f>
        <v>65303</v>
      </c>
      <c r="D285" s="17">
        <f t="shared" si="2"/>
        <v>0.01601764084</v>
      </c>
      <c r="E285" s="16">
        <f>'IG Raw Data'!C285</f>
        <v>1046</v>
      </c>
      <c r="F285" s="19">
        <f t="shared" si="3"/>
        <v>1.443594646</v>
      </c>
      <c r="G285" s="19">
        <f t="shared" si="4"/>
        <v>23.12298057</v>
      </c>
      <c r="H285" s="19">
        <f>'IG Raw Data'!D285</f>
        <v>1510</v>
      </c>
      <c r="I285" s="17">
        <f t="shared" si="5"/>
        <v>0.01816443595</v>
      </c>
      <c r="J285" s="20">
        <f>'IG Raw Data'!E285</f>
        <v>19</v>
      </c>
      <c r="K285" s="22">
        <f t="shared" si="6"/>
        <v>130</v>
      </c>
      <c r="L285" s="22">
        <f>'IG Raw Data'!F285</f>
        <v>2470</v>
      </c>
    </row>
    <row r="286">
      <c r="A286" s="11">
        <f>'IG Raw Data'!A286</f>
        <v>45942</v>
      </c>
      <c r="B286" s="14">
        <f t="shared" si="1"/>
        <v>10</v>
      </c>
      <c r="C286" s="16">
        <f>'IG Raw Data'!B286</f>
        <v>18331</v>
      </c>
      <c r="D286" s="17">
        <f t="shared" si="2"/>
        <v>0.0135289946</v>
      </c>
      <c r="E286" s="16">
        <f>'IG Raw Data'!C286</f>
        <v>248</v>
      </c>
      <c r="F286" s="19">
        <f t="shared" si="3"/>
        <v>1.036290323</v>
      </c>
      <c r="G286" s="19">
        <f t="shared" si="4"/>
        <v>14.01996618</v>
      </c>
      <c r="H286" s="19">
        <f>'IG Raw Data'!D286</f>
        <v>257</v>
      </c>
      <c r="I286" s="17">
        <f t="shared" si="5"/>
        <v>0.01209677419</v>
      </c>
      <c r="J286" s="20">
        <f>'IG Raw Data'!E286</f>
        <v>3</v>
      </c>
      <c r="K286" s="22">
        <f t="shared" si="6"/>
        <v>169.3333333</v>
      </c>
      <c r="L286" s="22">
        <f>'IG Raw Data'!F286</f>
        <v>508</v>
      </c>
    </row>
    <row r="287">
      <c r="A287" s="11">
        <f>'IG Raw Data'!A287</f>
        <v>45943</v>
      </c>
      <c r="B287" s="14">
        <f t="shared" si="1"/>
        <v>10</v>
      </c>
      <c r="C287" s="16">
        <f>'IG Raw Data'!B287</f>
        <v>91113</v>
      </c>
      <c r="D287" s="17">
        <f t="shared" si="2"/>
        <v>0.02974328581</v>
      </c>
      <c r="E287" s="16">
        <f>'IG Raw Data'!C287</f>
        <v>2710</v>
      </c>
      <c r="F287" s="19">
        <f t="shared" si="3"/>
        <v>0.9147601476</v>
      </c>
      <c r="G287" s="19">
        <f t="shared" si="4"/>
        <v>27.20797252</v>
      </c>
      <c r="H287" s="19">
        <f>'IG Raw Data'!D287</f>
        <v>2479</v>
      </c>
      <c r="I287" s="17">
        <f t="shared" si="5"/>
        <v>0.01992619926</v>
      </c>
      <c r="J287" s="20">
        <f>'IG Raw Data'!E287</f>
        <v>54</v>
      </c>
      <c r="K287" s="22">
        <f t="shared" si="6"/>
        <v>109.3148148</v>
      </c>
      <c r="L287" s="22">
        <f>'IG Raw Data'!F287</f>
        <v>5903</v>
      </c>
    </row>
    <row r="288">
      <c r="A288" s="11">
        <f>'IG Raw Data'!A288</f>
        <v>45944</v>
      </c>
      <c r="B288" s="14">
        <f t="shared" si="1"/>
        <v>10</v>
      </c>
      <c r="C288" s="16">
        <f>'IG Raw Data'!B288</f>
        <v>35818</v>
      </c>
      <c r="D288" s="17">
        <f t="shared" si="2"/>
        <v>0.0256016528</v>
      </c>
      <c r="E288" s="16">
        <f>'IG Raw Data'!C288</f>
        <v>917</v>
      </c>
      <c r="F288" s="19">
        <f t="shared" si="3"/>
        <v>1.582333697</v>
      </c>
      <c r="G288" s="19">
        <f t="shared" si="4"/>
        <v>40.51035792</v>
      </c>
      <c r="H288" s="19">
        <f>'IG Raw Data'!D288</f>
        <v>1451</v>
      </c>
      <c r="I288" s="17">
        <f t="shared" si="5"/>
        <v>0.01635768811</v>
      </c>
      <c r="J288" s="20">
        <f>'IG Raw Data'!E288</f>
        <v>15</v>
      </c>
      <c r="K288" s="22">
        <f t="shared" si="6"/>
        <v>159.7333333</v>
      </c>
      <c r="L288" s="22">
        <f>'IG Raw Data'!F288</f>
        <v>2396</v>
      </c>
    </row>
    <row r="289">
      <c r="A289" s="11">
        <f>'IG Raw Data'!A289</f>
        <v>45945</v>
      </c>
      <c r="B289" s="14">
        <f t="shared" si="1"/>
        <v>10</v>
      </c>
      <c r="C289" s="16">
        <f>'IG Raw Data'!B289</f>
        <v>53530</v>
      </c>
      <c r="D289" s="17">
        <f t="shared" si="2"/>
        <v>0.02060526807</v>
      </c>
      <c r="E289" s="16">
        <f>'IG Raw Data'!C289</f>
        <v>1103</v>
      </c>
      <c r="F289" s="19">
        <f t="shared" si="3"/>
        <v>1.47325476</v>
      </c>
      <c r="G289" s="19">
        <f t="shared" si="4"/>
        <v>30.35680927</v>
      </c>
      <c r="H289" s="19">
        <f>'IG Raw Data'!D289</f>
        <v>1625</v>
      </c>
      <c r="I289" s="17">
        <f t="shared" si="5"/>
        <v>0.0199456029</v>
      </c>
      <c r="J289" s="20">
        <f>'IG Raw Data'!E289</f>
        <v>22</v>
      </c>
      <c r="K289" s="22">
        <f t="shared" si="6"/>
        <v>169.5</v>
      </c>
      <c r="L289" s="22">
        <f>'IG Raw Data'!F289</f>
        <v>3729</v>
      </c>
    </row>
    <row r="290">
      <c r="A290" s="11">
        <f>'IG Raw Data'!A290</f>
        <v>45946</v>
      </c>
      <c r="B290" s="14">
        <f t="shared" si="1"/>
        <v>10</v>
      </c>
      <c r="C290" s="16">
        <f>'IG Raw Data'!B290</f>
        <v>55679</v>
      </c>
      <c r="D290" s="17">
        <f t="shared" si="2"/>
        <v>0.01530199896</v>
      </c>
      <c r="E290" s="16">
        <f>'IG Raw Data'!C290</f>
        <v>852</v>
      </c>
      <c r="F290" s="19">
        <f t="shared" si="3"/>
        <v>1.04342723</v>
      </c>
      <c r="G290" s="19">
        <f t="shared" si="4"/>
        <v>15.96652239</v>
      </c>
      <c r="H290" s="19">
        <f>'IG Raw Data'!D290</f>
        <v>889</v>
      </c>
      <c r="I290" s="17">
        <f t="shared" si="5"/>
        <v>0.01877934272</v>
      </c>
      <c r="J290" s="20">
        <f>'IG Raw Data'!E290</f>
        <v>16</v>
      </c>
      <c r="K290" s="22">
        <f t="shared" si="6"/>
        <v>166.1875</v>
      </c>
      <c r="L290" s="22">
        <f>'IG Raw Data'!F290</f>
        <v>2659</v>
      </c>
    </row>
    <row r="291">
      <c r="A291" s="11">
        <f>'IG Raw Data'!A291</f>
        <v>45947</v>
      </c>
      <c r="B291" s="14">
        <f t="shared" si="1"/>
        <v>10</v>
      </c>
      <c r="C291" s="16">
        <f>'IG Raw Data'!B291</f>
        <v>46054</v>
      </c>
      <c r="D291" s="17">
        <f t="shared" si="2"/>
        <v>0.01550353932</v>
      </c>
      <c r="E291" s="16">
        <f>'IG Raw Data'!C291</f>
        <v>714</v>
      </c>
      <c r="F291" s="19">
        <f t="shared" si="3"/>
        <v>1.941176471</v>
      </c>
      <c r="G291" s="19">
        <f t="shared" si="4"/>
        <v>30.09510575</v>
      </c>
      <c r="H291" s="19">
        <f>'IG Raw Data'!D291</f>
        <v>1386</v>
      </c>
      <c r="I291" s="17">
        <f t="shared" si="5"/>
        <v>0.01400560224</v>
      </c>
      <c r="J291" s="20">
        <f>'IG Raw Data'!E291</f>
        <v>10</v>
      </c>
      <c r="K291" s="22">
        <f t="shared" si="6"/>
        <v>119.5</v>
      </c>
      <c r="L291" s="22">
        <f>'IG Raw Data'!F291</f>
        <v>1195</v>
      </c>
    </row>
    <row r="292">
      <c r="A292" s="11">
        <f>'IG Raw Data'!A292</f>
        <v>45948</v>
      </c>
      <c r="B292" s="14">
        <f t="shared" si="1"/>
        <v>10</v>
      </c>
      <c r="C292" s="16">
        <f>'IG Raw Data'!B292</f>
        <v>24167</v>
      </c>
      <c r="D292" s="17">
        <f t="shared" si="2"/>
        <v>0.0125377581</v>
      </c>
      <c r="E292" s="16">
        <f>'IG Raw Data'!C292</f>
        <v>303</v>
      </c>
      <c r="F292" s="19">
        <f t="shared" si="3"/>
        <v>1.587458746</v>
      </c>
      <c r="G292" s="19">
        <f t="shared" si="4"/>
        <v>19.90317375</v>
      </c>
      <c r="H292" s="19">
        <f>'IG Raw Data'!D292</f>
        <v>481</v>
      </c>
      <c r="I292" s="17">
        <f t="shared" si="5"/>
        <v>0.02640264026</v>
      </c>
      <c r="J292" s="20">
        <f>'IG Raw Data'!E292</f>
        <v>8</v>
      </c>
      <c r="K292" s="22">
        <f t="shared" si="6"/>
        <v>130.875</v>
      </c>
      <c r="L292" s="22">
        <f>'IG Raw Data'!F292</f>
        <v>1047</v>
      </c>
    </row>
    <row r="293">
      <c r="A293" s="11">
        <f>'IG Raw Data'!A293</f>
        <v>45949</v>
      </c>
      <c r="B293" s="14">
        <f t="shared" si="1"/>
        <v>10</v>
      </c>
      <c r="C293" s="16">
        <f>'IG Raw Data'!B293</f>
        <v>15830</v>
      </c>
      <c r="D293" s="17">
        <f t="shared" si="2"/>
        <v>0.01547694251</v>
      </c>
      <c r="E293" s="16">
        <f>'IG Raw Data'!C293</f>
        <v>245</v>
      </c>
      <c r="F293" s="19">
        <f t="shared" si="3"/>
        <v>1.493877551</v>
      </c>
      <c r="G293" s="19">
        <f t="shared" si="4"/>
        <v>23.12065698</v>
      </c>
      <c r="H293" s="19">
        <f>'IG Raw Data'!D293</f>
        <v>366</v>
      </c>
      <c r="I293" s="17">
        <f t="shared" si="5"/>
        <v>0.01224489796</v>
      </c>
      <c r="J293" s="20">
        <f>'IG Raw Data'!E293</f>
        <v>3</v>
      </c>
      <c r="K293" s="22">
        <f t="shared" si="6"/>
        <v>184.3333333</v>
      </c>
      <c r="L293" s="22">
        <f>'IG Raw Data'!F293</f>
        <v>553</v>
      </c>
    </row>
    <row r="294">
      <c r="A294" s="11">
        <f>'IG Raw Data'!A294</f>
        <v>45950</v>
      </c>
      <c r="B294" s="14">
        <f t="shared" si="1"/>
        <v>10</v>
      </c>
      <c r="C294" s="16">
        <f>'IG Raw Data'!B294</f>
        <v>77941</v>
      </c>
      <c r="D294" s="17">
        <f t="shared" si="2"/>
        <v>0.02517288718</v>
      </c>
      <c r="E294" s="16">
        <f>'IG Raw Data'!C294</f>
        <v>1962</v>
      </c>
      <c r="F294" s="19">
        <f t="shared" si="3"/>
        <v>0.9464831804</v>
      </c>
      <c r="G294" s="19">
        <f t="shared" si="4"/>
        <v>23.82571432</v>
      </c>
      <c r="H294" s="19">
        <f>'IG Raw Data'!D294</f>
        <v>1857</v>
      </c>
      <c r="I294" s="17">
        <f t="shared" si="5"/>
        <v>0.01885830785</v>
      </c>
      <c r="J294" s="20">
        <f>'IG Raw Data'!E294</f>
        <v>37</v>
      </c>
      <c r="K294" s="22">
        <f t="shared" si="6"/>
        <v>133.8378378</v>
      </c>
      <c r="L294" s="22">
        <f>'IG Raw Data'!F294</f>
        <v>4952</v>
      </c>
    </row>
    <row r="295">
      <c r="A295" s="11">
        <f>'IG Raw Data'!A295</f>
        <v>45951</v>
      </c>
      <c r="B295" s="14">
        <f t="shared" si="1"/>
        <v>10</v>
      </c>
      <c r="C295" s="16">
        <f>'IG Raw Data'!B295</f>
        <v>86583</v>
      </c>
      <c r="D295" s="17">
        <f t="shared" si="2"/>
        <v>0.02403474123</v>
      </c>
      <c r="E295" s="16">
        <f>'IG Raw Data'!C295</f>
        <v>2081</v>
      </c>
      <c r="F295" s="19">
        <f t="shared" si="3"/>
        <v>1.382988948</v>
      </c>
      <c r="G295" s="19">
        <f t="shared" si="4"/>
        <v>33.23978148</v>
      </c>
      <c r="H295" s="19">
        <f>'IG Raw Data'!D295</f>
        <v>2878</v>
      </c>
      <c r="I295" s="17">
        <f t="shared" si="5"/>
        <v>0.0172993753</v>
      </c>
      <c r="J295" s="20">
        <f>'IG Raw Data'!E295</f>
        <v>36</v>
      </c>
      <c r="K295" s="22">
        <f t="shared" si="6"/>
        <v>105.2777778</v>
      </c>
      <c r="L295" s="22">
        <f>'IG Raw Data'!F295</f>
        <v>3790</v>
      </c>
    </row>
    <row r="296">
      <c r="A296" s="11">
        <f>'IG Raw Data'!A296</f>
        <v>45952</v>
      </c>
      <c r="B296" s="14">
        <f t="shared" si="1"/>
        <v>10</v>
      </c>
      <c r="C296" s="16">
        <f>'IG Raw Data'!B296</f>
        <v>63208</v>
      </c>
      <c r="D296" s="17">
        <f t="shared" si="2"/>
        <v>0.01531451715</v>
      </c>
      <c r="E296" s="16">
        <f>'IG Raw Data'!C296</f>
        <v>968</v>
      </c>
      <c r="F296" s="19">
        <f t="shared" si="3"/>
        <v>1.383264463</v>
      </c>
      <c r="G296" s="19">
        <f t="shared" si="4"/>
        <v>21.18402734</v>
      </c>
      <c r="H296" s="19">
        <f>'IG Raw Data'!D296</f>
        <v>1339</v>
      </c>
      <c r="I296" s="17">
        <f t="shared" si="5"/>
        <v>0.01342975207</v>
      </c>
      <c r="J296" s="20">
        <f>'IG Raw Data'!E296</f>
        <v>13</v>
      </c>
      <c r="K296" s="22">
        <f t="shared" si="6"/>
        <v>124.6153846</v>
      </c>
      <c r="L296" s="22">
        <f>'IG Raw Data'!F296</f>
        <v>1620</v>
      </c>
    </row>
    <row r="297">
      <c r="A297" s="11">
        <f>'IG Raw Data'!A297</f>
        <v>45953</v>
      </c>
      <c r="B297" s="14">
        <f t="shared" si="1"/>
        <v>10</v>
      </c>
      <c r="C297" s="16">
        <f>'IG Raw Data'!B297</f>
        <v>53761</v>
      </c>
      <c r="D297" s="17">
        <f t="shared" si="2"/>
        <v>0.01714997861</v>
      </c>
      <c r="E297" s="16">
        <f>'IG Raw Data'!C297</f>
        <v>922</v>
      </c>
      <c r="F297" s="19">
        <f t="shared" si="3"/>
        <v>0.9880694143</v>
      </c>
      <c r="G297" s="19">
        <f t="shared" si="4"/>
        <v>16.94536932</v>
      </c>
      <c r="H297" s="19">
        <f>'IG Raw Data'!D297</f>
        <v>911</v>
      </c>
      <c r="I297" s="17">
        <f t="shared" si="5"/>
        <v>0.01952277657</v>
      </c>
      <c r="J297" s="20">
        <f>'IG Raw Data'!E297</f>
        <v>18</v>
      </c>
      <c r="K297" s="22">
        <f t="shared" si="6"/>
        <v>186.6666667</v>
      </c>
      <c r="L297" s="22">
        <f>'IG Raw Data'!F297</f>
        <v>3360</v>
      </c>
    </row>
    <row r="298">
      <c r="A298" s="11">
        <f>'IG Raw Data'!A298</f>
        <v>45954</v>
      </c>
      <c r="B298" s="14">
        <f t="shared" si="1"/>
        <v>10</v>
      </c>
      <c r="C298" s="16">
        <f>'IG Raw Data'!B298</f>
        <v>19823</v>
      </c>
      <c r="D298" s="17">
        <f t="shared" si="2"/>
        <v>0.02658527973</v>
      </c>
      <c r="E298" s="16">
        <f>'IG Raw Data'!C298</f>
        <v>527</v>
      </c>
      <c r="F298" s="19">
        <f t="shared" si="3"/>
        <v>1.210626186</v>
      </c>
      <c r="G298" s="19">
        <f t="shared" si="4"/>
        <v>32.1848358</v>
      </c>
      <c r="H298" s="19">
        <f>'IG Raw Data'!D298</f>
        <v>638</v>
      </c>
      <c r="I298" s="17">
        <f t="shared" si="5"/>
        <v>0.02277039848</v>
      </c>
      <c r="J298" s="20">
        <f>'IG Raw Data'!E298</f>
        <v>12</v>
      </c>
      <c r="K298" s="22">
        <f t="shared" si="6"/>
        <v>118.0833333</v>
      </c>
      <c r="L298" s="22">
        <f>'IG Raw Data'!F298</f>
        <v>1417</v>
      </c>
    </row>
    <row r="299">
      <c r="A299" s="11">
        <f>'IG Raw Data'!A299</f>
        <v>45955</v>
      </c>
      <c r="B299" s="14">
        <f t="shared" si="1"/>
        <v>10</v>
      </c>
      <c r="C299" s="16">
        <f>'IG Raw Data'!B299</f>
        <v>73157</v>
      </c>
      <c r="D299" s="17">
        <f t="shared" si="2"/>
        <v>0.01647142447</v>
      </c>
      <c r="E299" s="16">
        <f>'IG Raw Data'!C299</f>
        <v>1205</v>
      </c>
      <c r="F299" s="19">
        <f t="shared" si="3"/>
        <v>1.451452282</v>
      </c>
      <c r="G299" s="19">
        <f t="shared" si="4"/>
        <v>23.90748664</v>
      </c>
      <c r="H299" s="19">
        <f>'IG Raw Data'!D299</f>
        <v>1749</v>
      </c>
      <c r="I299" s="17">
        <f t="shared" si="5"/>
        <v>0.022406639</v>
      </c>
      <c r="J299" s="20">
        <f>'IG Raw Data'!E299</f>
        <v>27</v>
      </c>
      <c r="K299" s="22">
        <f t="shared" si="6"/>
        <v>119.2592593</v>
      </c>
      <c r="L299" s="22">
        <f>'IG Raw Data'!F299</f>
        <v>3220</v>
      </c>
    </row>
    <row r="300">
      <c r="A300" s="11">
        <f>'IG Raw Data'!A300</f>
        <v>45956</v>
      </c>
      <c r="B300" s="14">
        <f t="shared" si="1"/>
        <v>10</v>
      </c>
      <c r="C300" s="16">
        <f>'IG Raw Data'!B300</f>
        <v>17151</v>
      </c>
      <c r="D300" s="17">
        <f t="shared" si="2"/>
        <v>0.02466328494</v>
      </c>
      <c r="E300" s="16">
        <f>'IG Raw Data'!C300</f>
        <v>423</v>
      </c>
      <c r="F300" s="19">
        <f t="shared" si="3"/>
        <v>1.182033097</v>
      </c>
      <c r="G300" s="19">
        <f t="shared" si="4"/>
        <v>29.15281908</v>
      </c>
      <c r="H300" s="19">
        <f>'IG Raw Data'!D300</f>
        <v>500</v>
      </c>
      <c r="I300" s="17">
        <f t="shared" si="5"/>
        <v>0.01891252955</v>
      </c>
      <c r="J300" s="20">
        <f>'IG Raw Data'!E300</f>
        <v>8</v>
      </c>
      <c r="K300" s="22">
        <f t="shared" si="6"/>
        <v>171.5</v>
      </c>
      <c r="L300" s="22">
        <f>'IG Raw Data'!F300</f>
        <v>1372</v>
      </c>
    </row>
    <row r="301">
      <c r="A301" s="11">
        <f>'IG Raw Data'!A301</f>
        <v>45957</v>
      </c>
      <c r="B301" s="14">
        <f t="shared" si="1"/>
        <v>10</v>
      </c>
      <c r="C301" s="16">
        <f>'IG Raw Data'!B301</f>
        <v>47443</v>
      </c>
      <c r="D301" s="17">
        <f t="shared" si="2"/>
        <v>0.01897013258</v>
      </c>
      <c r="E301" s="16">
        <f>'IG Raw Data'!C301</f>
        <v>900</v>
      </c>
      <c r="F301" s="19">
        <f t="shared" si="3"/>
        <v>1.08</v>
      </c>
      <c r="G301" s="19">
        <f t="shared" si="4"/>
        <v>20.48774319</v>
      </c>
      <c r="H301" s="19">
        <f>'IG Raw Data'!D301</f>
        <v>972</v>
      </c>
      <c r="I301" s="17">
        <f t="shared" si="5"/>
        <v>0.01666666667</v>
      </c>
      <c r="J301" s="20">
        <f>'IG Raw Data'!E301</f>
        <v>15</v>
      </c>
      <c r="K301" s="22">
        <f t="shared" si="6"/>
        <v>183</v>
      </c>
      <c r="L301" s="22">
        <f>'IG Raw Data'!F301</f>
        <v>2745</v>
      </c>
    </row>
    <row r="302">
      <c r="A302" s="11">
        <f>'IG Raw Data'!A302</f>
        <v>45958</v>
      </c>
      <c r="B302" s="14">
        <f t="shared" si="1"/>
        <v>10</v>
      </c>
      <c r="C302" s="16">
        <f>'IG Raw Data'!B302</f>
        <v>56847</v>
      </c>
      <c r="D302" s="17">
        <f t="shared" si="2"/>
        <v>0.0171161187</v>
      </c>
      <c r="E302" s="16">
        <f>'IG Raw Data'!C302</f>
        <v>973</v>
      </c>
      <c r="F302" s="19">
        <f t="shared" si="3"/>
        <v>1.31963001</v>
      </c>
      <c r="G302" s="19">
        <f t="shared" si="4"/>
        <v>22.5869439</v>
      </c>
      <c r="H302" s="19">
        <f>'IG Raw Data'!D302</f>
        <v>1284</v>
      </c>
      <c r="I302" s="17">
        <f t="shared" si="5"/>
        <v>0.02363823227</v>
      </c>
      <c r="J302" s="20">
        <f>'IG Raw Data'!E302</f>
        <v>23</v>
      </c>
      <c r="K302" s="22">
        <f t="shared" si="6"/>
        <v>126.4347826</v>
      </c>
      <c r="L302" s="22">
        <f>'IG Raw Data'!F302</f>
        <v>2908</v>
      </c>
    </row>
    <row r="303">
      <c r="A303" s="11">
        <f>'IG Raw Data'!A303</f>
        <v>45959</v>
      </c>
      <c r="B303" s="14">
        <f t="shared" si="1"/>
        <v>10</v>
      </c>
      <c r="C303" s="16">
        <f>'IG Raw Data'!B303</f>
        <v>103800</v>
      </c>
      <c r="D303" s="17">
        <f t="shared" si="2"/>
        <v>0.01837186898</v>
      </c>
      <c r="E303" s="16">
        <f>'IG Raw Data'!C303</f>
        <v>1907</v>
      </c>
      <c r="F303" s="19">
        <f t="shared" si="3"/>
        <v>1.695332984</v>
      </c>
      <c r="G303" s="19">
        <f t="shared" si="4"/>
        <v>31.14643545</v>
      </c>
      <c r="H303" s="19">
        <f>'IG Raw Data'!D303</f>
        <v>3233</v>
      </c>
      <c r="I303" s="17">
        <f t="shared" si="5"/>
        <v>0.01730466702</v>
      </c>
      <c r="J303" s="20">
        <f>'IG Raw Data'!E303</f>
        <v>33</v>
      </c>
      <c r="K303" s="22">
        <f t="shared" si="6"/>
        <v>138.2727273</v>
      </c>
      <c r="L303" s="22">
        <f>'IG Raw Data'!F303</f>
        <v>4563</v>
      </c>
    </row>
    <row r="304">
      <c r="A304" s="11">
        <f>'IG Raw Data'!A304</f>
        <v>45960</v>
      </c>
      <c r="B304" s="14">
        <f t="shared" si="1"/>
        <v>10</v>
      </c>
      <c r="C304" s="16">
        <f>'IG Raw Data'!B304</f>
        <v>61699</v>
      </c>
      <c r="D304" s="17">
        <f t="shared" si="2"/>
        <v>0.01826609832</v>
      </c>
      <c r="E304" s="16">
        <f>'IG Raw Data'!C304</f>
        <v>1127</v>
      </c>
      <c r="F304" s="19">
        <f t="shared" si="3"/>
        <v>1.261756877</v>
      </c>
      <c r="G304" s="19">
        <f t="shared" si="4"/>
        <v>23.04737516</v>
      </c>
      <c r="H304" s="19">
        <f>'IG Raw Data'!D304</f>
        <v>1422</v>
      </c>
      <c r="I304" s="17">
        <f t="shared" si="5"/>
        <v>0.01863354037</v>
      </c>
      <c r="J304" s="20">
        <f>'IG Raw Data'!E304</f>
        <v>21</v>
      </c>
      <c r="K304" s="22">
        <f t="shared" si="6"/>
        <v>185.952381</v>
      </c>
      <c r="L304" s="22">
        <f>'IG Raw Data'!F304</f>
        <v>3905</v>
      </c>
    </row>
    <row r="305">
      <c r="A305" s="11">
        <f>'IG Raw Data'!A305</f>
        <v>45961</v>
      </c>
      <c r="B305" s="14">
        <f t="shared" si="1"/>
        <v>10</v>
      </c>
      <c r="C305" s="16">
        <f>'IG Raw Data'!B305</f>
        <v>43734</v>
      </c>
      <c r="D305" s="17">
        <f t="shared" si="2"/>
        <v>0.03146293502</v>
      </c>
      <c r="E305" s="16">
        <f>'IG Raw Data'!C305</f>
        <v>1376</v>
      </c>
      <c r="F305" s="19">
        <f t="shared" si="3"/>
        <v>1.454215116</v>
      </c>
      <c r="G305" s="19">
        <f t="shared" si="4"/>
        <v>45.7538757</v>
      </c>
      <c r="H305" s="19">
        <f>'IG Raw Data'!D305</f>
        <v>2001</v>
      </c>
      <c r="I305" s="17">
        <f t="shared" si="5"/>
        <v>0.02180232558</v>
      </c>
      <c r="J305" s="20">
        <f>'IG Raw Data'!E305</f>
        <v>30</v>
      </c>
      <c r="K305" s="22">
        <f t="shared" si="6"/>
        <v>127.9</v>
      </c>
      <c r="L305" s="22">
        <f>'IG Raw Data'!F305</f>
        <v>3837</v>
      </c>
    </row>
    <row r="306">
      <c r="A306" s="11">
        <f>'IG Raw Data'!A306</f>
        <v>45962</v>
      </c>
      <c r="B306" s="14">
        <f t="shared" si="1"/>
        <v>11</v>
      </c>
      <c r="C306" s="16">
        <f>'IG Raw Data'!B306</f>
        <v>18145</v>
      </c>
      <c r="D306" s="17">
        <f t="shared" si="2"/>
        <v>0.02386332323</v>
      </c>
      <c r="E306" s="16">
        <f>'IG Raw Data'!C306</f>
        <v>433</v>
      </c>
      <c r="F306" s="19">
        <f t="shared" si="3"/>
        <v>1.799076212</v>
      </c>
      <c r="G306" s="19">
        <f t="shared" si="4"/>
        <v>42.93193717</v>
      </c>
      <c r="H306" s="19">
        <f>'IG Raw Data'!D306</f>
        <v>779</v>
      </c>
      <c r="I306" s="17">
        <f t="shared" si="5"/>
        <v>0.01847575058</v>
      </c>
      <c r="J306" s="20">
        <f>'IG Raw Data'!E306</f>
        <v>8</v>
      </c>
      <c r="K306" s="22">
        <f t="shared" si="6"/>
        <v>163.75</v>
      </c>
      <c r="L306" s="22">
        <f>'IG Raw Data'!F306</f>
        <v>1310</v>
      </c>
    </row>
    <row r="307">
      <c r="A307" s="11">
        <f>'IG Raw Data'!A307</f>
        <v>45963</v>
      </c>
      <c r="B307" s="14">
        <f t="shared" si="1"/>
        <v>11</v>
      </c>
      <c r="C307" s="16">
        <f>'IG Raw Data'!B307</f>
        <v>95605</v>
      </c>
      <c r="D307" s="17">
        <f t="shared" si="2"/>
        <v>0.02056377805</v>
      </c>
      <c r="E307" s="16">
        <f>'IG Raw Data'!C307</f>
        <v>1966</v>
      </c>
      <c r="F307" s="19">
        <f t="shared" si="3"/>
        <v>1.043743642</v>
      </c>
      <c r="G307" s="19">
        <f t="shared" si="4"/>
        <v>21.46331259</v>
      </c>
      <c r="H307" s="19">
        <f>'IG Raw Data'!D307</f>
        <v>2052</v>
      </c>
      <c r="I307" s="17">
        <f t="shared" si="5"/>
        <v>0.01322482197</v>
      </c>
      <c r="J307" s="20">
        <f>'IG Raw Data'!E307</f>
        <v>26</v>
      </c>
      <c r="K307" s="22">
        <f t="shared" si="6"/>
        <v>180.3461538</v>
      </c>
      <c r="L307" s="22">
        <f>'IG Raw Data'!F307</f>
        <v>4689</v>
      </c>
    </row>
    <row r="308">
      <c r="A308" s="11">
        <f>'IG Raw Data'!A308</f>
        <v>45964</v>
      </c>
      <c r="B308" s="14">
        <f t="shared" si="1"/>
        <v>11</v>
      </c>
      <c r="C308" s="16">
        <f>'IG Raw Data'!B308</f>
        <v>12276</v>
      </c>
      <c r="D308" s="17">
        <f t="shared" si="2"/>
        <v>0.01653633105</v>
      </c>
      <c r="E308" s="16">
        <f>'IG Raw Data'!C308</f>
        <v>203</v>
      </c>
      <c r="F308" s="19">
        <f t="shared" si="3"/>
        <v>1.901477833</v>
      </c>
      <c r="G308" s="19">
        <f t="shared" si="4"/>
        <v>31.44346693</v>
      </c>
      <c r="H308" s="19">
        <f>'IG Raw Data'!D308</f>
        <v>386</v>
      </c>
      <c r="I308" s="17">
        <f t="shared" si="5"/>
        <v>0.0197044335</v>
      </c>
      <c r="J308" s="20">
        <f>'IG Raw Data'!E308</f>
        <v>4</v>
      </c>
      <c r="K308" s="22">
        <f t="shared" si="6"/>
        <v>183.5</v>
      </c>
      <c r="L308" s="22">
        <f>'IG Raw Data'!F308</f>
        <v>734</v>
      </c>
    </row>
    <row r="309">
      <c r="A309" s="11">
        <f>'IG Raw Data'!A309</f>
        <v>45965</v>
      </c>
      <c r="B309" s="14">
        <f t="shared" si="1"/>
        <v>11</v>
      </c>
      <c r="C309" s="16">
        <f>'IG Raw Data'!B309</f>
        <v>13289</v>
      </c>
      <c r="D309" s="17">
        <f t="shared" si="2"/>
        <v>0.01760854842</v>
      </c>
      <c r="E309" s="16">
        <f>'IG Raw Data'!C309</f>
        <v>234</v>
      </c>
      <c r="F309" s="19">
        <f t="shared" si="3"/>
        <v>1.923076923</v>
      </c>
      <c r="G309" s="19">
        <f t="shared" si="4"/>
        <v>33.86259312</v>
      </c>
      <c r="H309" s="19">
        <f>'IG Raw Data'!D309</f>
        <v>450</v>
      </c>
      <c r="I309" s="17">
        <f t="shared" si="5"/>
        <v>0.01709401709</v>
      </c>
      <c r="J309" s="20">
        <f>'IG Raw Data'!E309</f>
        <v>4</v>
      </c>
      <c r="K309" s="22">
        <f t="shared" si="6"/>
        <v>130.25</v>
      </c>
      <c r="L309" s="22">
        <f>'IG Raw Data'!F309</f>
        <v>521</v>
      </c>
    </row>
    <row r="310">
      <c r="A310" s="11">
        <f>'IG Raw Data'!A310</f>
        <v>45966</v>
      </c>
      <c r="B310" s="14">
        <f t="shared" si="1"/>
        <v>11</v>
      </c>
      <c r="C310" s="16">
        <f>'IG Raw Data'!B310</f>
        <v>20703</v>
      </c>
      <c r="D310" s="17">
        <f t="shared" si="2"/>
        <v>0.02613147853</v>
      </c>
      <c r="E310" s="16">
        <f>'IG Raw Data'!C310</f>
        <v>541</v>
      </c>
      <c r="F310" s="19">
        <f t="shared" si="3"/>
        <v>1.388170055</v>
      </c>
      <c r="G310" s="19">
        <f t="shared" si="4"/>
        <v>36.274936</v>
      </c>
      <c r="H310" s="19">
        <f>'IG Raw Data'!D310</f>
        <v>751</v>
      </c>
      <c r="I310" s="17">
        <f t="shared" si="5"/>
        <v>0.01848428835</v>
      </c>
      <c r="J310" s="20">
        <f>'IG Raw Data'!E310</f>
        <v>10</v>
      </c>
      <c r="K310" s="22">
        <f t="shared" si="6"/>
        <v>157.3</v>
      </c>
      <c r="L310" s="22">
        <f>'IG Raw Data'!F310</f>
        <v>1573</v>
      </c>
    </row>
    <row r="311">
      <c r="A311" s="11">
        <f>'IG Raw Data'!A311</f>
        <v>45967</v>
      </c>
      <c r="B311" s="14">
        <f t="shared" si="1"/>
        <v>11</v>
      </c>
      <c r="C311" s="16">
        <f>'IG Raw Data'!B311</f>
        <v>91303</v>
      </c>
      <c r="D311" s="17">
        <f t="shared" si="2"/>
        <v>0.02961567528</v>
      </c>
      <c r="E311" s="16">
        <f>'IG Raw Data'!C311</f>
        <v>2704</v>
      </c>
      <c r="F311" s="19">
        <f t="shared" si="3"/>
        <v>1.015162722</v>
      </c>
      <c r="G311" s="19">
        <f t="shared" si="4"/>
        <v>30.06472953</v>
      </c>
      <c r="H311" s="19">
        <f>'IG Raw Data'!D311</f>
        <v>2745</v>
      </c>
      <c r="I311" s="17">
        <f t="shared" si="5"/>
        <v>0.02329881657</v>
      </c>
      <c r="J311" s="20">
        <f>'IG Raw Data'!E311</f>
        <v>63</v>
      </c>
      <c r="K311" s="22">
        <f t="shared" si="6"/>
        <v>163.3650794</v>
      </c>
      <c r="L311" s="22">
        <f>'IG Raw Data'!F311</f>
        <v>10292</v>
      </c>
    </row>
    <row r="312">
      <c r="A312" s="11">
        <f>'IG Raw Data'!A312</f>
        <v>45968</v>
      </c>
      <c r="B312" s="14">
        <f t="shared" si="1"/>
        <v>11</v>
      </c>
      <c r="C312" s="16">
        <f>'IG Raw Data'!B312</f>
        <v>35422</v>
      </c>
      <c r="D312" s="17">
        <f t="shared" si="2"/>
        <v>0.01815256056</v>
      </c>
      <c r="E312" s="16">
        <f>'IG Raw Data'!C312</f>
        <v>643</v>
      </c>
      <c r="F312" s="19">
        <f t="shared" si="3"/>
        <v>1.737169518</v>
      </c>
      <c r="G312" s="19">
        <f t="shared" si="4"/>
        <v>31.53407487</v>
      </c>
      <c r="H312" s="19">
        <f>'IG Raw Data'!D312</f>
        <v>1117</v>
      </c>
      <c r="I312" s="17">
        <f t="shared" si="5"/>
        <v>0.02021772939</v>
      </c>
      <c r="J312" s="20">
        <f>'IG Raw Data'!E312</f>
        <v>13</v>
      </c>
      <c r="K312" s="22">
        <f t="shared" si="6"/>
        <v>134.3076923</v>
      </c>
      <c r="L312" s="22">
        <f>'IG Raw Data'!F312</f>
        <v>1746</v>
      </c>
    </row>
    <row r="313">
      <c r="A313" s="11">
        <f>'IG Raw Data'!A313</f>
        <v>45969</v>
      </c>
      <c r="B313" s="14">
        <f t="shared" si="1"/>
        <v>11</v>
      </c>
      <c r="C313" s="16">
        <f>'IG Raw Data'!B313</f>
        <v>86793</v>
      </c>
      <c r="D313" s="17">
        <f t="shared" si="2"/>
        <v>0.02629244294</v>
      </c>
      <c r="E313" s="16">
        <f>'IG Raw Data'!C313</f>
        <v>2282</v>
      </c>
      <c r="F313" s="19">
        <f t="shared" si="3"/>
        <v>1.115249781</v>
      </c>
      <c r="G313" s="19">
        <f t="shared" si="4"/>
        <v>29.32264123</v>
      </c>
      <c r="H313" s="19">
        <f>'IG Raw Data'!D313</f>
        <v>2545</v>
      </c>
      <c r="I313" s="17">
        <f t="shared" si="5"/>
        <v>0.02366345311</v>
      </c>
      <c r="J313" s="20">
        <f>'IG Raw Data'!E313</f>
        <v>54</v>
      </c>
      <c r="K313" s="22">
        <f t="shared" si="6"/>
        <v>154.5</v>
      </c>
      <c r="L313" s="22">
        <f>'IG Raw Data'!F313</f>
        <v>8343</v>
      </c>
    </row>
    <row r="314">
      <c r="A314" s="11">
        <f>'IG Raw Data'!A314</f>
        <v>45970</v>
      </c>
      <c r="B314" s="14">
        <f t="shared" si="1"/>
        <v>11</v>
      </c>
      <c r="C314" s="16">
        <f>'IG Raw Data'!B314</f>
        <v>70545</v>
      </c>
      <c r="D314" s="17">
        <f t="shared" si="2"/>
        <v>0.02299241619</v>
      </c>
      <c r="E314" s="16">
        <f>'IG Raw Data'!C314</f>
        <v>1622</v>
      </c>
      <c r="F314" s="19">
        <f t="shared" si="3"/>
        <v>1.523427867</v>
      </c>
      <c r="G314" s="19">
        <f t="shared" si="4"/>
        <v>35.02728755</v>
      </c>
      <c r="H314" s="19">
        <f>'IG Raw Data'!D314</f>
        <v>2471</v>
      </c>
      <c r="I314" s="17">
        <f t="shared" si="5"/>
        <v>0.02219482121</v>
      </c>
      <c r="J314" s="20">
        <f>'IG Raw Data'!E314</f>
        <v>36</v>
      </c>
      <c r="K314" s="22">
        <f t="shared" si="6"/>
        <v>186.0833333</v>
      </c>
      <c r="L314" s="22">
        <f>'IG Raw Data'!F314</f>
        <v>6699</v>
      </c>
    </row>
    <row r="315">
      <c r="A315" s="11">
        <f>'IG Raw Data'!A315</f>
        <v>45971</v>
      </c>
      <c r="B315" s="14">
        <f t="shared" si="1"/>
        <v>11</v>
      </c>
      <c r="C315" s="16">
        <f>'IG Raw Data'!B315</f>
        <v>21885</v>
      </c>
      <c r="D315" s="17">
        <f t="shared" si="2"/>
        <v>0.02161297692</v>
      </c>
      <c r="E315" s="16">
        <f>'IG Raw Data'!C315</f>
        <v>473</v>
      </c>
      <c r="F315" s="19">
        <f t="shared" si="3"/>
        <v>1.21987315</v>
      </c>
      <c r="G315" s="19">
        <f t="shared" si="4"/>
        <v>26.36509024</v>
      </c>
      <c r="H315" s="19">
        <f>'IG Raw Data'!D315</f>
        <v>577</v>
      </c>
      <c r="I315" s="17">
        <f t="shared" si="5"/>
        <v>0.02114164905</v>
      </c>
      <c r="J315" s="20">
        <f>'IG Raw Data'!E315</f>
        <v>10</v>
      </c>
      <c r="K315" s="22">
        <f t="shared" si="6"/>
        <v>150.7</v>
      </c>
      <c r="L315" s="22">
        <f>'IG Raw Data'!F315</f>
        <v>1507</v>
      </c>
    </row>
    <row r="316">
      <c r="A316" s="11">
        <f>'IG Raw Data'!A316</f>
        <v>45972</v>
      </c>
      <c r="B316" s="14">
        <f t="shared" si="1"/>
        <v>11</v>
      </c>
      <c r="C316" s="16">
        <f>'IG Raw Data'!B316</f>
        <v>34153</v>
      </c>
      <c r="D316" s="17">
        <f t="shared" si="2"/>
        <v>0.01297104208</v>
      </c>
      <c r="E316" s="16">
        <f>'IG Raw Data'!C316</f>
        <v>443</v>
      </c>
      <c r="F316" s="19">
        <f t="shared" si="3"/>
        <v>0.8510158014</v>
      </c>
      <c r="G316" s="19">
        <f t="shared" si="4"/>
        <v>11.03856177</v>
      </c>
      <c r="H316" s="19">
        <f>'IG Raw Data'!D316</f>
        <v>377</v>
      </c>
      <c r="I316" s="17">
        <f t="shared" si="5"/>
        <v>0.02031602709</v>
      </c>
      <c r="J316" s="20">
        <f>'IG Raw Data'!E316</f>
        <v>9</v>
      </c>
      <c r="K316" s="22">
        <f t="shared" si="6"/>
        <v>160.8888889</v>
      </c>
      <c r="L316" s="22">
        <f>'IG Raw Data'!F316</f>
        <v>1448</v>
      </c>
    </row>
    <row r="317">
      <c r="A317" s="11">
        <f>'IG Raw Data'!A317</f>
        <v>45973</v>
      </c>
      <c r="B317" s="14">
        <f t="shared" si="1"/>
        <v>11</v>
      </c>
      <c r="C317" s="16">
        <f>'IG Raw Data'!B317</f>
        <v>55954</v>
      </c>
      <c r="D317" s="17">
        <f t="shared" si="2"/>
        <v>0.01281409729</v>
      </c>
      <c r="E317" s="16">
        <f>'IG Raw Data'!C317</f>
        <v>717</v>
      </c>
      <c r="F317" s="19">
        <f t="shared" si="3"/>
        <v>1.952580195</v>
      </c>
      <c r="G317" s="19">
        <f t="shared" si="4"/>
        <v>25.0205526</v>
      </c>
      <c r="H317" s="19">
        <f>'IG Raw Data'!D317</f>
        <v>1400</v>
      </c>
      <c r="I317" s="17">
        <f t="shared" si="5"/>
        <v>0.01952580195</v>
      </c>
      <c r="J317" s="20">
        <f>'IG Raw Data'!E317</f>
        <v>14</v>
      </c>
      <c r="K317" s="22">
        <f t="shared" si="6"/>
        <v>205.7142857</v>
      </c>
      <c r="L317" s="22">
        <f>'IG Raw Data'!F317</f>
        <v>2880</v>
      </c>
    </row>
    <row r="318">
      <c r="A318" s="11">
        <f>'IG Raw Data'!A318</f>
        <v>45974</v>
      </c>
      <c r="B318" s="14">
        <f t="shared" si="1"/>
        <v>11</v>
      </c>
      <c r="C318" s="16">
        <f>'IG Raw Data'!B318</f>
        <v>101056</v>
      </c>
      <c r="D318" s="17">
        <f t="shared" si="2"/>
        <v>0.02430335655</v>
      </c>
      <c r="E318" s="16">
        <f>'IG Raw Data'!C318</f>
        <v>2456</v>
      </c>
      <c r="F318" s="19">
        <f t="shared" si="3"/>
        <v>1.081026059</v>
      </c>
      <c r="G318" s="19">
        <f t="shared" si="4"/>
        <v>26.27256175</v>
      </c>
      <c r="H318" s="19">
        <f>'IG Raw Data'!D318</f>
        <v>2655</v>
      </c>
      <c r="I318" s="17">
        <f t="shared" si="5"/>
        <v>0.01221498371</v>
      </c>
      <c r="J318" s="20">
        <f>'IG Raw Data'!E318</f>
        <v>30</v>
      </c>
      <c r="K318" s="22">
        <f t="shared" si="6"/>
        <v>119.2333333</v>
      </c>
      <c r="L318" s="22">
        <f>'IG Raw Data'!F318</f>
        <v>3577</v>
      </c>
    </row>
    <row r="319">
      <c r="A319" s="11">
        <f>'IG Raw Data'!A319</f>
        <v>45975</v>
      </c>
      <c r="B319" s="14">
        <f t="shared" si="1"/>
        <v>11</v>
      </c>
      <c r="C319" s="16">
        <f>'IG Raw Data'!B319</f>
        <v>78238</v>
      </c>
      <c r="D319" s="17">
        <f t="shared" si="2"/>
        <v>0.01560622715</v>
      </c>
      <c r="E319" s="16">
        <f>'IG Raw Data'!C319</f>
        <v>1221</v>
      </c>
      <c r="F319" s="19">
        <f t="shared" si="3"/>
        <v>1.677313677</v>
      </c>
      <c r="G319" s="19">
        <f t="shared" si="4"/>
        <v>26.17653826</v>
      </c>
      <c r="H319" s="19">
        <f>'IG Raw Data'!D319</f>
        <v>2048</v>
      </c>
      <c r="I319" s="17">
        <f t="shared" si="5"/>
        <v>0.01556101556</v>
      </c>
      <c r="J319" s="20">
        <f>'IG Raw Data'!E319</f>
        <v>19</v>
      </c>
      <c r="K319" s="22">
        <f t="shared" si="6"/>
        <v>151.2631579</v>
      </c>
      <c r="L319" s="22">
        <f>'IG Raw Data'!F319</f>
        <v>2874</v>
      </c>
    </row>
    <row r="320">
      <c r="A320" s="11">
        <f>'IG Raw Data'!A320</f>
        <v>45976</v>
      </c>
      <c r="B320" s="14">
        <f t="shared" si="1"/>
        <v>11</v>
      </c>
      <c r="C320" s="16">
        <f>'IG Raw Data'!B320</f>
        <v>73143</v>
      </c>
      <c r="D320" s="17">
        <f t="shared" si="2"/>
        <v>0.0172948881</v>
      </c>
      <c r="E320" s="16">
        <f>'IG Raw Data'!C320</f>
        <v>1265</v>
      </c>
      <c r="F320" s="19">
        <f t="shared" si="3"/>
        <v>1.072727273</v>
      </c>
      <c r="G320" s="19">
        <f t="shared" si="4"/>
        <v>18.55269814</v>
      </c>
      <c r="H320" s="19">
        <f>'IG Raw Data'!D320</f>
        <v>1357</v>
      </c>
      <c r="I320" s="17">
        <f t="shared" si="5"/>
        <v>0.01422924901</v>
      </c>
      <c r="J320" s="20">
        <f>'IG Raw Data'!E320</f>
        <v>18</v>
      </c>
      <c r="K320" s="22">
        <f t="shared" si="6"/>
        <v>128</v>
      </c>
      <c r="L320" s="22">
        <f>'IG Raw Data'!F320</f>
        <v>2304</v>
      </c>
    </row>
    <row r="321">
      <c r="A321" s="11">
        <f>'IG Raw Data'!A321</f>
        <v>45977</v>
      </c>
      <c r="B321" s="14">
        <f t="shared" si="1"/>
        <v>11</v>
      </c>
      <c r="C321" s="16">
        <f>'IG Raw Data'!B321</f>
        <v>59011</v>
      </c>
      <c r="D321" s="17">
        <f t="shared" si="2"/>
        <v>0.00896443036</v>
      </c>
      <c r="E321" s="16">
        <f>'IG Raw Data'!C321</f>
        <v>529</v>
      </c>
      <c r="F321" s="19">
        <f t="shared" si="3"/>
        <v>1.419659735</v>
      </c>
      <c r="G321" s="19">
        <f t="shared" si="4"/>
        <v>12.72644083</v>
      </c>
      <c r="H321" s="19">
        <f>'IG Raw Data'!D321</f>
        <v>751</v>
      </c>
      <c r="I321" s="17">
        <f t="shared" si="5"/>
        <v>0.02268431002</v>
      </c>
      <c r="J321" s="20">
        <f>'IG Raw Data'!E321</f>
        <v>12</v>
      </c>
      <c r="K321" s="22">
        <f t="shared" si="6"/>
        <v>132.9166667</v>
      </c>
      <c r="L321" s="22">
        <f>'IG Raw Data'!F321</f>
        <v>1595</v>
      </c>
    </row>
    <row r="322">
      <c r="A322" s="11">
        <f>'IG Raw Data'!A322</f>
        <v>45978</v>
      </c>
      <c r="B322" s="14">
        <f t="shared" si="1"/>
        <v>11</v>
      </c>
      <c r="C322" s="16">
        <f>'IG Raw Data'!B322</f>
        <v>68100</v>
      </c>
      <c r="D322" s="17">
        <f t="shared" si="2"/>
        <v>0.02913362702</v>
      </c>
      <c r="E322" s="16">
        <f>'IG Raw Data'!C322</f>
        <v>1984</v>
      </c>
      <c r="F322" s="19">
        <f t="shared" si="3"/>
        <v>1.286290323</v>
      </c>
      <c r="G322" s="19">
        <f t="shared" si="4"/>
        <v>37.4743025</v>
      </c>
      <c r="H322" s="19">
        <f>'IG Raw Data'!D322</f>
        <v>2552</v>
      </c>
      <c r="I322" s="17">
        <f t="shared" si="5"/>
        <v>0.0252016129</v>
      </c>
      <c r="J322" s="20">
        <f>'IG Raw Data'!E322</f>
        <v>50</v>
      </c>
      <c r="K322" s="22">
        <f t="shared" si="6"/>
        <v>150.92</v>
      </c>
      <c r="L322" s="22">
        <f>'IG Raw Data'!F322</f>
        <v>7546</v>
      </c>
    </row>
    <row r="323">
      <c r="A323" s="11">
        <f>'IG Raw Data'!A323</f>
        <v>45979</v>
      </c>
      <c r="B323" s="14">
        <f t="shared" si="1"/>
        <v>11</v>
      </c>
      <c r="C323" s="16">
        <f>'IG Raw Data'!B323</f>
        <v>72521</v>
      </c>
      <c r="D323" s="17">
        <f t="shared" si="2"/>
        <v>0.01347195985</v>
      </c>
      <c r="E323" s="16">
        <f>'IG Raw Data'!C323</f>
        <v>977</v>
      </c>
      <c r="F323" s="19">
        <f t="shared" si="3"/>
        <v>1.687819857</v>
      </c>
      <c r="G323" s="19">
        <f t="shared" si="4"/>
        <v>22.73824134</v>
      </c>
      <c r="H323" s="19">
        <f>'IG Raw Data'!D323</f>
        <v>1649</v>
      </c>
      <c r="I323" s="17">
        <f t="shared" si="5"/>
        <v>0.02456499488</v>
      </c>
      <c r="J323" s="20">
        <f>'IG Raw Data'!E323</f>
        <v>24</v>
      </c>
      <c r="K323" s="22">
        <f t="shared" si="6"/>
        <v>138.875</v>
      </c>
      <c r="L323" s="22">
        <f>'IG Raw Data'!F323</f>
        <v>3333</v>
      </c>
    </row>
    <row r="324">
      <c r="A324" s="11">
        <f>'IG Raw Data'!A324</f>
        <v>45980</v>
      </c>
      <c r="B324" s="14">
        <f t="shared" si="1"/>
        <v>11</v>
      </c>
      <c r="C324" s="16">
        <f>'IG Raw Data'!B324</f>
        <v>61360</v>
      </c>
      <c r="D324" s="17">
        <f t="shared" si="2"/>
        <v>0.01276075619</v>
      </c>
      <c r="E324" s="16">
        <f>'IG Raw Data'!C324</f>
        <v>783</v>
      </c>
      <c r="F324" s="19">
        <f t="shared" si="3"/>
        <v>1.694763729</v>
      </c>
      <c r="G324" s="19">
        <f t="shared" si="4"/>
        <v>21.62646675</v>
      </c>
      <c r="H324" s="19">
        <f>'IG Raw Data'!D324</f>
        <v>1327</v>
      </c>
      <c r="I324" s="17">
        <f t="shared" si="5"/>
        <v>0.01404853129</v>
      </c>
      <c r="J324" s="20">
        <f>'IG Raw Data'!E324</f>
        <v>11</v>
      </c>
      <c r="K324" s="22">
        <f t="shared" si="6"/>
        <v>159.7272727</v>
      </c>
      <c r="L324" s="22">
        <f>'IG Raw Data'!F324</f>
        <v>1757</v>
      </c>
    </row>
    <row r="325">
      <c r="A325" s="11">
        <f>'IG Raw Data'!A325</f>
        <v>45981</v>
      </c>
      <c r="B325" s="14">
        <f t="shared" si="1"/>
        <v>11</v>
      </c>
      <c r="C325" s="16">
        <f>'IG Raw Data'!B325</f>
        <v>79103</v>
      </c>
      <c r="D325" s="17">
        <f t="shared" si="2"/>
        <v>0.01853279901</v>
      </c>
      <c r="E325" s="16">
        <f>'IG Raw Data'!C325</f>
        <v>1466</v>
      </c>
      <c r="F325" s="19">
        <f t="shared" si="3"/>
        <v>1.212824011</v>
      </c>
      <c r="G325" s="19">
        <f t="shared" si="4"/>
        <v>22.47702363</v>
      </c>
      <c r="H325" s="19">
        <f>'IG Raw Data'!D325</f>
        <v>1778</v>
      </c>
      <c r="I325" s="17">
        <f t="shared" si="5"/>
        <v>0.02182810368</v>
      </c>
      <c r="J325" s="20">
        <f>'IG Raw Data'!E325</f>
        <v>32</v>
      </c>
      <c r="K325" s="22">
        <f t="shared" si="6"/>
        <v>195.90625</v>
      </c>
      <c r="L325" s="22">
        <f>'IG Raw Data'!F325</f>
        <v>6269</v>
      </c>
    </row>
    <row r="326">
      <c r="A326" s="11">
        <f>'IG Raw Data'!A326</f>
        <v>45982</v>
      </c>
      <c r="B326" s="14">
        <f t="shared" si="1"/>
        <v>11</v>
      </c>
      <c r="C326" s="16">
        <f>'IG Raw Data'!B326</f>
        <v>24707</v>
      </c>
      <c r="D326" s="17">
        <f t="shared" si="2"/>
        <v>0.01141376938</v>
      </c>
      <c r="E326" s="16">
        <f>'IG Raw Data'!C326</f>
        <v>282</v>
      </c>
      <c r="F326" s="19">
        <f t="shared" si="3"/>
        <v>1.471631206</v>
      </c>
      <c r="G326" s="19">
        <f t="shared" si="4"/>
        <v>16.79685919</v>
      </c>
      <c r="H326" s="19">
        <f>'IG Raw Data'!D326</f>
        <v>415</v>
      </c>
      <c r="I326" s="17">
        <f t="shared" si="5"/>
        <v>0.02127659574</v>
      </c>
      <c r="J326" s="20">
        <f>'IG Raw Data'!E326</f>
        <v>6</v>
      </c>
      <c r="K326" s="22">
        <f t="shared" si="6"/>
        <v>186.5</v>
      </c>
      <c r="L326" s="22">
        <f>'IG Raw Data'!F326</f>
        <v>1119</v>
      </c>
    </row>
    <row r="327">
      <c r="A327" s="11">
        <f>'IG Raw Data'!A327</f>
        <v>45983</v>
      </c>
      <c r="B327" s="14">
        <f t="shared" si="1"/>
        <v>11</v>
      </c>
      <c r="C327" s="16">
        <f>'IG Raw Data'!B327</f>
        <v>90610</v>
      </c>
      <c r="D327" s="17">
        <f t="shared" si="2"/>
        <v>0.02561527425</v>
      </c>
      <c r="E327" s="16">
        <f>'IG Raw Data'!C327</f>
        <v>2321</v>
      </c>
      <c r="F327" s="19">
        <f t="shared" si="3"/>
        <v>1.390779836</v>
      </c>
      <c r="G327" s="19">
        <f t="shared" si="4"/>
        <v>35.62520693</v>
      </c>
      <c r="H327" s="19">
        <f>'IG Raw Data'!D327</f>
        <v>3228</v>
      </c>
      <c r="I327" s="17">
        <f t="shared" si="5"/>
        <v>0.01594140457</v>
      </c>
      <c r="J327" s="20">
        <f>'IG Raw Data'!E327</f>
        <v>37</v>
      </c>
      <c r="K327" s="22">
        <f t="shared" si="6"/>
        <v>106.0810811</v>
      </c>
      <c r="L327" s="22">
        <f>'IG Raw Data'!F327</f>
        <v>3925</v>
      </c>
    </row>
    <row r="328">
      <c r="A328" s="11">
        <f>'IG Raw Data'!A328</f>
        <v>45984</v>
      </c>
      <c r="B328" s="14">
        <f t="shared" si="1"/>
        <v>11</v>
      </c>
      <c r="C328" s="16">
        <f>'IG Raw Data'!B328</f>
        <v>65307</v>
      </c>
      <c r="D328" s="17">
        <f t="shared" si="2"/>
        <v>0.01200483868</v>
      </c>
      <c r="E328" s="16">
        <f>'IG Raw Data'!C328</f>
        <v>784</v>
      </c>
      <c r="F328" s="19">
        <f t="shared" si="3"/>
        <v>1.468112245</v>
      </c>
      <c r="G328" s="19">
        <f t="shared" si="4"/>
        <v>17.62445067</v>
      </c>
      <c r="H328" s="19">
        <f>'IG Raw Data'!D328</f>
        <v>1151</v>
      </c>
      <c r="I328" s="17">
        <f t="shared" si="5"/>
        <v>0.01147959184</v>
      </c>
      <c r="J328" s="20">
        <f>'IG Raw Data'!E328</f>
        <v>9</v>
      </c>
      <c r="K328" s="22">
        <f t="shared" si="6"/>
        <v>180.6666667</v>
      </c>
      <c r="L328" s="22">
        <f>'IG Raw Data'!F328</f>
        <v>1626</v>
      </c>
    </row>
    <row r="329">
      <c r="A329" s="11">
        <f>'IG Raw Data'!A329</f>
        <v>45985</v>
      </c>
      <c r="B329" s="14">
        <f t="shared" si="1"/>
        <v>11</v>
      </c>
      <c r="C329" s="16">
        <f>'IG Raw Data'!B329</f>
        <v>48991</v>
      </c>
      <c r="D329" s="17">
        <f t="shared" si="2"/>
        <v>0.01516605091</v>
      </c>
      <c r="E329" s="16">
        <f>'IG Raw Data'!C329</f>
        <v>743</v>
      </c>
      <c r="F329" s="19">
        <f t="shared" si="3"/>
        <v>1.752355316</v>
      </c>
      <c r="G329" s="19">
        <f t="shared" si="4"/>
        <v>26.57630993</v>
      </c>
      <c r="H329" s="19">
        <f>'IG Raw Data'!D329</f>
        <v>1302</v>
      </c>
      <c r="I329" s="17">
        <f t="shared" si="5"/>
        <v>0.0134589502</v>
      </c>
      <c r="J329" s="20">
        <f>'IG Raw Data'!E329</f>
        <v>10</v>
      </c>
      <c r="K329" s="22">
        <f t="shared" si="6"/>
        <v>148.4</v>
      </c>
      <c r="L329" s="22">
        <f>'IG Raw Data'!F329</f>
        <v>1484</v>
      </c>
    </row>
    <row r="330">
      <c r="A330" s="11">
        <f>'IG Raw Data'!A330</f>
        <v>45986</v>
      </c>
      <c r="B330" s="14">
        <f t="shared" si="1"/>
        <v>11</v>
      </c>
      <c r="C330" s="16">
        <f>'IG Raw Data'!B330</f>
        <v>17772</v>
      </c>
      <c r="D330" s="17">
        <f t="shared" si="2"/>
        <v>0.01266036462</v>
      </c>
      <c r="E330" s="16">
        <f>'IG Raw Data'!C330</f>
        <v>225</v>
      </c>
      <c r="F330" s="19">
        <f t="shared" si="3"/>
        <v>1.555555556</v>
      </c>
      <c r="G330" s="19">
        <f t="shared" si="4"/>
        <v>19.69390052</v>
      </c>
      <c r="H330" s="19">
        <f>'IG Raw Data'!D330</f>
        <v>350</v>
      </c>
      <c r="I330" s="17">
        <f t="shared" si="5"/>
        <v>0.01333333333</v>
      </c>
      <c r="J330" s="20">
        <f>'IG Raw Data'!E330</f>
        <v>3</v>
      </c>
      <c r="K330" s="22">
        <f t="shared" si="6"/>
        <v>197.3333333</v>
      </c>
      <c r="L330" s="22">
        <f>'IG Raw Data'!F330</f>
        <v>592</v>
      </c>
    </row>
    <row r="331">
      <c r="A331" s="11">
        <f>'IG Raw Data'!A331</f>
        <v>45987</v>
      </c>
      <c r="B331" s="14">
        <f t="shared" si="1"/>
        <v>11</v>
      </c>
      <c r="C331" s="16">
        <f>'IG Raw Data'!B331</f>
        <v>15340</v>
      </c>
      <c r="D331" s="17">
        <f t="shared" si="2"/>
        <v>0.01049543677</v>
      </c>
      <c r="E331" s="16">
        <f>'IG Raw Data'!C331</f>
        <v>161</v>
      </c>
      <c r="F331" s="19">
        <f t="shared" si="3"/>
        <v>1.888198758</v>
      </c>
      <c r="G331" s="19">
        <f t="shared" si="4"/>
        <v>19.81747066</v>
      </c>
      <c r="H331" s="19">
        <f>'IG Raw Data'!D331</f>
        <v>304</v>
      </c>
      <c r="I331" s="17">
        <f t="shared" si="5"/>
        <v>0.01863354037</v>
      </c>
      <c r="J331" s="20">
        <f>'IG Raw Data'!E331</f>
        <v>3</v>
      </c>
      <c r="K331" s="22">
        <f t="shared" si="6"/>
        <v>143.3333333</v>
      </c>
      <c r="L331" s="22">
        <f>'IG Raw Data'!F331</f>
        <v>430</v>
      </c>
    </row>
    <row r="332">
      <c r="A332" s="11">
        <f>'IG Raw Data'!A332</f>
        <v>45988</v>
      </c>
      <c r="B332" s="14">
        <f t="shared" si="1"/>
        <v>11</v>
      </c>
      <c r="C332" s="16">
        <f>'IG Raw Data'!B332</f>
        <v>14040</v>
      </c>
      <c r="D332" s="17">
        <f t="shared" si="2"/>
        <v>0.01673789174</v>
      </c>
      <c r="E332" s="16">
        <f>'IG Raw Data'!C332</f>
        <v>235</v>
      </c>
      <c r="F332" s="19">
        <f t="shared" si="3"/>
        <v>1.574468085</v>
      </c>
      <c r="G332" s="19">
        <f t="shared" si="4"/>
        <v>26.35327635</v>
      </c>
      <c r="H332" s="19">
        <f>'IG Raw Data'!D332</f>
        <v>370</v>
      </c>
      <c r="I332" s="17">
        <f t="shared" si="5"/>
        <v>0.01276595745</v>
      </c>
      <c r="J332" s="20">
        <f>'IG Raw Data'!E332</f>
        <v>3</v>
      </c>
      <c r="K332" s="22">
        <f t="shared" si="6"/>
        <v>195.3333333</v>
      </c>
      <c r="L332" s="22">
        <f>'IG Raw Data'!F332</f>
        <v>586</v>
      </c>
    </row>
    <row r="333">
      <c r="A333" s="11">
        <f>'IG Raw Data'!A333</f>
        <v>45989</v>
      </c>
      <c r="B333" s="14">
        <f t="shared" si="1"/>
        <v>11</v>
      </c>
      <c r="C333" s="16">
        <f>'IG Raw Data'!B333</f>
        <v>76119</v>
      </c>
      <c r="D333" s="17">
        <f t="shared" si="2"/>
        <v>0.02317424033</v>
      </c>
      <c r="E333" s="16">
        <f>'IG Raw Data'!C333</f>
        <v>1764</v>
      </c>
      <c r="F333" s="19">
        <f t="shared" si="3"/>
        <v>1.787981859</v>
      </c>
      <c r="G333" s="19">
        <f t="shared" si="4"/>
        <v>41.43512132</v>
      </c>
      <c r="H333" s="19">
        <f>'IG Raw Data'!D333</f>
        <v>3154</v>
      </c>
      <c r="I333" s="17">
        <f t="shared" si="5"/>
        <v>0.01247165533</v>
      </c>
      <c r="J333" s="20">
        <f>'IG Raw Data'!E333</f>
        <v>22</v>
      </c>
      <c r="K333" s="22">
        <f t="shared" si="6"/>
        <v>127.8181818</v>
      </c>
      <c r="L333" s="22">
        <f>'IG Raw Data'!F333</f>
        <v>2812</v>
      </c>
    </row>
    <row r="334">
      <c r="A334" s="11">
        <f>'IG Raw Data'!A334</f>
        <v>45990</v>
      </c>
      <c r="B334" s="14">
        <f t="shared" si="1"/>
        <v>11</v>
      </c>
      <c r="C334" s="16">
        <f>'IG Raw Data'!B334</f>
        <v>27517</v>
      </c>
      <c r="D334" s="17">
        <f t="shared" si="2"/>
        <v>0.02551150198</v>
      </c>
      <c r="E334" s="16">
        <f>'IG Raw Data'!C334</f>
        <v>702</v>
      </c>
      <c r="F334" s="19">
        <f t="shared" si="3"/>
        <v>1.54985755</v>
      </c>
      <c r="G334" s="19">
        <f t="shared" si="4"/>
        <v>39.53919395</v>
      </c>
      <c r="H334" s="19">
        <f>'IG Raw Data'!D334</f>
        <v>1088</v>
      </c>
      <c r="I334" s="17">
        <f t="shared" si="5"/>
        <v>0.01424501425</v>
      </c>
      <c r="J334" s="20">
        <f>'IG Raw Data'!E334</f>
        <v>10</v>
      </c>
      <c r="K334" s="22">
        <f t="shared" si="6"/>
        <v>190.5</v>
      </c>
      <c r="L334" s="22">
        <f>'IG Raw Data'!F334</f>
        <v>1905</v>
      </c>
    </row>
    <row r="335">
      <c r="A335" s="11">
        <f>'IG Raw Data'!A335</f>
        <v>45991</v>
      </c>
      <c r="B335" s="14">
        <f t="shared" si="1"/>
        <v>11</v>
      </c>
      <c r="C335" s="16">
        <f>'IG Raw Data'!B335</f>
        <v>38969</v>
      </c>
      <c r="D335" s="17">
        <f t="shared" si="2"/>
        <v>0.02630295876</v>
      </c>
      <c r="E335" s="16">
        <f>'IG Raw Data'!C335</f>
        <v>1025</v>
      </c>
      <c r="F335" s="19">
        <f t="shared" si="3"/>
        <v>1.415609756</v>
      </c>
      <c r="G335" s="19">
        <f t="shared" si="4"/>
        <v>37.23472504</v>
      </c>
      <c r="H335" s="19">
        <f>'IG Raw Data'!D335</f>
        <v>1451</v>
      </c>
      <c r="I335" s="17">
        <f t="shared" si="5"/>
        <v>0.01658536585</v>
      </c>
      <c r="J335" s="20">
        <f>'IG Raw Data'!E335</f>
        <v>17</v>
      </c>
      <c r="K335" s="22">
        <f t="shared" si="6"/>
        <v>168.7058824</v>
      </c>
      <c r="L335" s="22">
        <f>'IG Raw Data'!F335</f>
        <v>2868</v>
      </c>
    </row>
    <row r="336">
      <c r="A336" s="11">
        <f>'IG Raw Data'!A336</f>
        <v>45992</v>
      </c>
      <c r="B336" s="14">
        <f t="shared" si="1"/>
        <v>12</v>
      </c>
      <c r="C336" s="16">
        <f>'IG Raw Data'!B336</f>
        <v>106305</v>
      </c>
      <c r="D336" s="17">
        <f t="shared" si="2"/>
        <v>0.02380885189</v>
      </c>
      <c r="E336" s="16">
        <f>'IG Raw Data'!C336</f>
        <v>2531</v>
      </c>
      <c r="F336" s="19">
        <f t="shared" si="3"/>
        <v>1.147767681</v>
      </c>
      <c r="G336" s="19">
        <f t="shared" si="4"/>
        <v>27.32703071</v>
      </c>
      <c r="H336" s="19">
        <f>'IG Raw Data'!D336</f>
        <v>2905</v>
      </c>
      <c r="I336" s="17">
        <f t="shared" si="5"/>
        <v>0.01224812327</v>
      </c>
      <c r="J336" s="20">
        <f>'IG Raw Data'!E336</f>
        <v>31</v>
      </c>
      <c r="K336" s="22">
        <f t="shared" si="6"/>
        <v>188.1612903</v>
      </c>
      <c r="L336" s="22">
        <f>'IG Raw Data'!F336</f>
        <v>5833</v>
      </c>
    </row>
    <row r="337">
      <c r="A337" s="11">
        <f>'IG Raw Data'!A337</f>
        <v>45993</v>
      </c>
      <c r="B337" s="14">
        <f t="shared" si="1"/>
        <v>12</v>
      </c>
      <c r="C337" s="16">
        <f>'IG Raw Data'!B337</f>
        <v>86838</v>
      </c>
      <c r="D337" s="17">
        <f t="shared" si="2"/>
        <v>0.02078583109</v>
      </c>
      <c r="E337" s="16">
        <f>'IG Raw Data'!C337</f>
        <v>1805</v>
      </c>
      <c r="F337" s="19">
        <f t="shared" si="3"/>
        <v>1.427700831</v>
      </c>
      <c r="G337" s="19">
        <f t="shared" si="4"/>
        <v>29.67594832</v>
      </c>
      <c r="H337" s="19">
        <f>'IG Raw Data'!D337</f>
        <v>2577</v>
      </c>
      <c r="I337" s="17">
        <f t="shared" si="5"/>
        <v>0.02049861496</v>
      </c>
      <c r="J337" s="20">
        <f>'IG Raw Data'!E337</f>
        <v>37</v>
      </c>
      <c r="K337" s="22">
        <f t="shared" si="6"/>
        <v>177.6756757</v>
      </c>
      <c r="L337" s="22">
        <f>'IG Raw Data'!F337</f>
        <v>6574</v>
      </c>
    </row>
    <row r="338">
      <c r="A338" s="11">
        <f>'IG Raw Data'!A338</f>
        <v>45994</v>
      </c>
      <c r="B338" s="14">
        <f t="shared" si="1"/>
        <v>12</v>
      </c>
      <c r="C338" s="16">
        <f>'IG Raw Data'!B338</f>
        <v>63290</v>
      </c>
      <c r="D338" s="17">
        <f t="shared" si="2"/>
        <v>0.01153420762</v>
      </c>
      <c r="E338" s="16">
        <f>'IG Raw Data'!C338</f>
        <v>730</v>
      </c>
      <c r="F338" s="19">
        <f t="shared" si="3"/>
        <v>1.721917808</v>
      </c>
      <c r="G338" s="19">
        <f t="shared" si="4"/>
        <v>19.8609575</v>
      </c>
      <c r="H338" s="19">
        <f>'IG Raw Data'!D338</f>
        <v>1257</v>
      </c>
      <c r="I338" s="17">
        <f t="shared" si="5"/>
        <v>0.01643835616</v>
      </c>
      <c r="J338" s="20">
        <f>'IG Raw Data'!E338</f>
        <v>12</v>
      </c>
      <c r="K338" s="22">
        <f t="shared" si="6"/>
        <v>206.3333333</v>
      </c>
      <c r="L338" s="22">
        <f>'IG Raw Data'!F338</f>
        <v>2476</v>
      </c>
    </row>
    <row r="339">
      <c r="A339" s="11">
        <f>'IG Raw Data'!A339</f>
        <v>45995</v>
      </c>
      <c r="B339" s="14">
        <f t="shared" si="1"/>
        <v>12</v>
      </c>
      <c r="C339" s="16">
        <f>'IG Raw Data'!B339</f>
        <v>110538</v>
      </c>
      <c r="D339" s="17">
        <f t="shared" si="2"/>
        <v>0.02413649605</v>
      </c>
      <c r="E339" s="16">
        <f>'IG Raw Data'!C339</f>
        <v>2668</v>
      </c>
      <c r="F339" s="19">
        <f t="shared" si="3"/>
        <v>1.896551724</v>
      </c>
      <c r="G339" s="19">
        <f t="shared" si="4"/>
        <v>45.77611319</v>
      </c>
      <c r="H339" s="19">
        <f>'IG Raw Data'!D339</f>
        <v>5060</v>
      </c>
      <c r="I339" s="17">
        <f t="shared" si="5"/>
        <v>0.02473763118</v>
      </c>
      <c r="J339" s="20">
        <f>'IG Raw Data'!E339</f>
        <v>66</v>
      </c>
      <c r="K339" s="22">
        <f t="shared" si="6"/>
        <v>167.0454545</v>
      </c>
      <c r="L339" s="22">
        <f>'IG Raw Data'!F339</f>
        <v>11025</v>
      </c>
    </row>
    <row r="340">
      <c r="A340" s="11">
        <f>'IG Raw Data'!A340</f>
        <v>45996</v>
      </c>
      <c r="B340" s="14">
        <f t="shared" si="1"/>
        <v>12</v>
      </c>
      <c r="C340" s="16">
        <f>'IG Raw Data'!B340</f>
        <v>78543</v>
      </c>
      <c r="D340" s="17">
        <f t="shared" si="2"/>
        <v>0.009536177635</v>
      </c>
      <c r="E340" s="16">
        <f>'IG Raw Data'!C340</f>
        <v>749</v>
      </c>
      <c r="F340" s="19">
        <f t="shared" si="3"/>
        <v>1.61682243</v>
      </c>
      <c r="G340" s="19">
        <f t="shared" si="4"/>
        <v>15.4183059</v>
      </c>
      <c r="H340" s="19">
        <f>'IG Raw Data'!D340</f>
        <v>1211</v>
      </c>
      <c r="I340" s="17">
        <f t="shared" si="5"/>
        <v>0.02269692924</v>
      </c>
      <c r="J340" s="20">
        <f>'IG Raw Data'!E340</f>
        <v>17</v>
      </c>
      <c r="K340" s="22">
        <f t="shared" si="6"/>
        <v>140.8235294</v>
      </c>
      <c r="L340" s="22">
        <f>'IG Raw Data'!F340</f>
        <v>2394</v>
      </c>
    </row>
    <row r="341">
      <c r="A341" s="11">
        <f>'IG Raw Data'!A341</f>
        <v>45997</v>
      </c>
      <c r="B341" s="14">
        <f t="shared" si="1"/>
        <v>12</v>
      </c>
      <c r="C341" s="16">
        <f>'IG Raw Data'!B341</f>
        <v>51464</v>
      </c>
      <c r="D341" s="17">
        <f t="shared" si="2"/>
        <v>0.03159490129</v>
      </c>
      <c r="E341" s="16">
        <f>'IG Raw Data'!C341</f>
        <v>1626</v>
      </c>
      <c r="F341" s="19">
        <f t="shared" si="3"/>
        <v>1.71402214</v>
      </c>
      <c r="G341" s="19">
        <f t="shared" si="4"/>
        <v>54.15436033</v>
      </c>
      <c r="H341" s="19">
        <f>'IG Raw Data'!D341</f>
        <v>2787</v>
      </c>
      <c r="I341" s="17">
        <f t="shared" si="5"/>
        <v>0.0135301353</v>
      </c>
      <c r="J341" s="20">
        <f>'IG Raw Data'!E341</f>
        <v>22</v>
      </c>
      <c r="K341" s="22">
        <f t="shared" si="6"/>
        <v>206.8636364</v>
      </c>
      <c r="L341" s="22">
        <f>'IG Raw Data'!F341</f>
        <v>4551</v>
      </c>
    </row>
    <row r="342">
      <c r="A342" s="11">
        <f>'IG Raw Data'!A342</f>
        <v>45998</v>
      </c>
      <c r="B342" s="14">
        <f t="shared" si="1"/>
        <v>12</v>
      </c>
      <c r="C342" s="16">
        <f>'IG Raw Data'!B342</f>
        <v>69466</v>
      </c>
      <c r="D342" s="17">
        <f t="shared" si="2"/>
        <v>0.02336394783</v>
      </c>
      <c r="E342" s="16">
        <f>'IG Raw Data'!C342</f>
        <v>1623</v>
      </c>
      <c r="F342" s="19">
        <f t="shared" si="3"/>
        <v>1.285890327</v>
      </c>
      <c r="G342" s="19">
        <f t="shared" si="4"/>
        <v>30.04347451</v>
      </c>
      <c r="H342" s="19">
        <f>'IG Raw Data'!D342</f>
        <v>2087</v>
      </c>
      <c r="I342" s="17">
        <f t="shared" si="5"/>
        <v>0.0191004313</v>
      </c>
      <c r="J342" s="20">
        <f>'IG Raw Data'!E342</f>
        <v>31</v>
      </c>
      <c r="K342" s="22">
        <f t="shared" si="6"/>
        <v>133.8387097</v>
      </c>
      <c r="L342" s="22">
        <f>'IG Raw Data'!F342</f>
        <v>4149</v>
      </c>
    </row>
    <row r="343">
      <c r="A343" s="11">
        <f>'IG Raw Data'!A343</f>
        <v>45999</v>
      </c>
      <c r="B343" s="14">
        <f t="shared" si="1"/>
        <v>12</v>
      </c>
      <c r="C343" s="16">
        <f>'IG Raw Data'!B343</f>
        <v>104688</v>
      </c>
      <c r="D343" s="17">
        <f t="shared" si="2"/>
        <v>0.01561783586</v>
      </c>
      <c r="E343" s="16">
        <f>'IG Raw Data'!C343</f>
        <v>1635</v>
      </c>
      <c r="F343" s="19">
        <f t="shared" si="3"/>
        <v>2.111314985</v>
      </c>
      <c r="G343" s="19">
        <f t="shared" si="4"/>
        <v>32.97417087</v>
      </c>
      <c r="H343" s="19">
        <f>'IG Raw Data'!D343</f>
        <v>3452</v>
      </c>
      <c r="I343" s="17">
        <f t="shared" si="5"/>
        <v>0.01773700306</v>
      </c>
      <c r="J343" s="20">
        <f>'IG Raw Data'!E343</f>
        <v>29</v>
      </c>
      <c r="K343" s="22">
        <f t="shared" si="6"/>
        <v>201.2068966</v>
      </c>
      <c r="L343" s="22">
        <f>'IG Raw Data'!F343</f>
        <v>5835</v>
      </c>
    </row>
    <row r="344">
      <c r="A344" s="11">
        <f>'IG Raw Data'!A344</f>
        <v>46000</v>
      </c>
      <c r="B344" s="14">
        <f t="shared" si="1"/>
        <v>12</v>
      </c>
      <c r="C344" s="16">
        <f>'IG Raw Data'!B344</f>
        <v>75437</v>
      </c>
      <c r="D344" s="17">
        <f t="shared" si="2"/>
        <v>0.02253536063</v>
      </c>
      <c r="E344" s="16">
        <f>'IG Raw Data'!C344</f>
        <v>1700</v>
      </c>
      <c r="F344" s="19">
        <f t="shared" si="3"/>
        <v>1.727058824</v>
      </c>
      <c r="G344" s="19">
        <f t="shared" si="4"/>
        <v>38.91989342</v>
      </c>
      <c r="H344" s="19">
        <f>'IG Raw Data'!D344</f>
        <v>2936</v>
      </c>
      <c r="I344" s="17">
        <f t="shared" si="5"/>
        <v>0.02235294118</v>
      </c>
      <c r="J344" s="20">
        <f>'IG Raw Data'!E344</f>
        <v>38</v>
      </c>
      <c r="K344" s="22">
        <f t="shared" si="6"/>
        <v>135.0526316</v>
      </c>
      <c r="L344" s="22">
        <f>'IG Raw Data'!F344</f>
        <v>5132</v>
      </c>
    </row>
    <row r="345">
      <c r="A345" s="11">
        <f>'IG Raw Data'!A345</f>
        <v>46001</v>
      </c>
      <c r="B345" s="14">
        <f t="shared" si="1"/>
        <v>12</v>
      </c>
      <c r="C345" s="16">
        <f>'IG Raw Data'!B345</f>
        <v>45951</v>
      </c>
      <c r="D345" s="17">
        <f t="shared" si="2"/>
        <v>0.0197166547</v>
      </c>
      <c r="E345" s="16">
        <f>'IG Raw Data'!C345</f>
        <v>906</v>
      </c>
      <c r="F345" s="19">
        <f t="shared" si="3"/>
        <v>1.609271523</v>
      </c>
      <c r="G345" s="19">
        <f t="shared" si="4"/>
        <v>31.72945094</v>
      </c>
      <c r="H345" s="19">
        <f>'IG Raw Data'!D345</f>
        <v>1458</v>
      </c>
      <c r="I345" s="17">
        <f t="shared" si="5"/>
        <v>0.01214128035</v>
      </c>
      <c r="J345" s="20">
        <f>'IG Raw Data'!E345</f>
        <v>11</v>
      </c>
      <c r="K345" s="22">
        <f t="shared" si="6"/>
        <v>148.7272727</v>
      </c>
      <c r="L345" s="22">
        <f>'IG Raw Data'!F345</f>
        <v>1636</v>
      </c>
    </row>
    <row r="346">
      <c r="A346" s="11">
        <f>'IG Raw Data'!A346</f>
        <v>46002</v>
      </c>
      <c r="B346" s="14">
        <f t="shared" si="1"/>
        <v>12</v>
      </c>
      <c r="C346" s="16">
        <f>'IG Raw Data'!B346</f>
        <v>67590</v>
      </c>
      <c r="D346" s="17">
        <f t="shared" si="2"/>
        <v>0.01053410268</v>
      </c>
      <c r="E346" s="16">
        <f>'IG Raw Data'!C346</f>
        <v>712</v>
      </c>
      <c r="F346" s="19">
        <f t="shared" si="3"/>
        <v>2.155898876</v>
      </c>
      <c r="G346" s="19">
        <f t="shared" si="4"/>
        <v>22.71046013</v>
      </c>
      <c r="H346" s="19">
        <f>'IG Raw Data'!D346</f>
        <v>1535</v>
      </c>
      <c r="I346" s="17">
        <f t="shared" si="5"/>
        <v>0.01264044944</v>
      </c>
      <c r="J346" s="20">
        <f>'IG Raw Data'!E346</f>
        <v>9</v>
      </c>
      <c r="K346" s="22">
        <f t="shared" si="6"/>
        <v>197.6666667</v>
      </c>
      <c r="L346" s="22">
        <f>'IG Raw Data'!F346</f>
        <v>1779</v>
      </c>
    </row>
    <row r="347">
      <c r="A347" s="11">
        <f>'IG Raw Data'!A347</f>
        <v>46003</v>
      </c>
      <c r="B347" s="14">
        <f t="shared" si="1"/>
        <v>12</v>
      </c>
      <c r="C347" s="16">
        <f>'IG Raw Data'!B347</f>
        <v>34901</v>
      </c>
      <c r="D347" s="17">
        <f t="shared" si="2"/>
        <v>0.009885103579</v>
      </c>
      <c r="E347" s="16">
        <f>'IG Raw Data'!C347</f>
        <v>345</v>
      </c>
      <c r="F347" s="19">
        <f t="shared" si="3"/>
        <v>1.826086957</v>
      </c>
      <c r="G347" s="19">
        <f t="shared" si="4"/>
        <v>18.05105871</v>
      </c>
      <c r="H347" s="19">
        <f>'IG Raw Data'!D347</f>
        <v>630</v>
      </c>
      <c r="I347" s="17">
        <f t="shared" si="5"/>
        <v>0.0115942029</v>
      </c>
      <c r="J347" s="20">
        <f>'IG Raw Data'!E347</f>
        <v>4</v>
      </c>
      <c r="K347" s="22">
        <f t="shared" si="6"/>
        <v>150.75</v>
      </c>
      <c r="L347" s="22">
        <f>'IG Raw Data'!F347</f>
        <v>603</v>
      </c>
    </row>
    <row r="348">
      <c r="A348" s="11">
        <f>'IG Raw Data'!A348</f>
        <v>46004</v>
      </c>
      <c r="B348" s="14">
        <f t="shared" si="1"/>
        <v>12</v>
      </c>
      <c r="C348" s="16">
        <f>'IG Raw Data'!B348</f>
        <v>117250</v>
      </c>
      <c r="D348" s="17">
        <f t="shared" si="2"/>
        <v>0.01996588486</v>
      </c>
      <c r="E348" s="16">
        <f>'IG Raw Data'!C348</f>
        <v>2341</v>
      </c>
      <c r="F348" s="19">
        <f t="shared" si="3"/>
        <v>1.472020504</v>
      </c>
      <c r="G348" s="19">
        <f t="shared" si="4"/>
        <v>29.3901919</v>
      </c>
      <c r="H348" s="19">
        <f>'IG Raw Data'!D348</f>
        <v>3446</v>
      </c>
      <c r="I348" s="17">
        <f t="shared" si="5"/>
        <v>0.01922255446</v>
      </c>
      <c r="J348" s="20">
        <f>'IG Raw Data'!E348</f>
        <v>45</v>
      </c>
      <c r="K348" s="22">
        <f t="shared" si="6"/>
        <v>142.0888889</v>
      </c>
      <c r="L348" s="22">
        <f>'IG Raw Data'!F348</f>
        <v>6394</v>
      </c>
    </row>
    <row r="349">
      <c r="A349" s="11">
        <f>'IG Raw Data'!A349</f>
        <v>46005</v>
      </c>
      <c r="B349" s="14">
        <f t="shared" si="1"/>
        <v>12</v>
      </c>
      <c r="C349" s="16">
        <f>'IG Raw Data'!B349</f>
        <v>23580</v>
      </c>
      <c r="D349" s="17">
        <f t="shared" si="2"/>
        <v>0.02926208651</v>
      </c>
      <c r="E349" s="16">
        <f>'IG Raw Data'!C349</f>
        <v>690</v>
      </c>
      <c r="F349" s="19">
        <f t="shared" si="3"/>
        <v>1.766666667</v>
      </c>
      <c r="G349" s="19">
        <f t="shared" si="4"/>
        <v>51.69635284</v>
      </c>
      <c r="H349" s="19">
        <f>'IG Raw Data'!D349</f>
        <v>1219</v>
      </c>
      <c r="I349" s="17">
        <f t="shared" si="5"/>
        <v>0.01739130435</v>
      </c>
      <c r="J349" s="20">
        <f>'IG Raw Data'!E349</f>
        <v>12</v>
      </c>
      <c r="K349" s="22">
        <f t="shared" si="6"/>
        <v>164.0833333</v>
      </c>
      <c r="L349" s="22">
        <f>'IG Raw Data'!F349</f>
        <v>1969</v>
      </c>
    </row>
    <row r="350">
      <c r="A350" s="11">
        <f>'IG Raw Data'!A350</f>
        <v>46006</v>
      </c>
      <c r="B350" s="14">
        <f t="shared" si="1"/>
        <v>12</v>
      </c>
      <c r="C350" s="16">
        <f>'IG Raw Data'!B350</f>
        <v>118209</v>
      </c>
      <c r="D350" s="17">
        <f t="shared" si="2"/>
        <v>0.02556488931</v>
      </c>
      <c r="E350" s="16">
        <f>'IG Raw Data'!C350</f>
        <v>3022</v>
      </c>
      <c r="F350" s="19">
        <f t="shared" si="3"/>
        <v>1.490072799</v>
      </c>
      <c r="G350" s="19">
        <f t="shared" si="4"/>
        <v>38.09354618</v>
      </c>
      <c r="H350" s="19">
        <f>'IG Raw Data'!D350</f>
        <v>4503</v>
      </c>
      <c r="I350" s="17">
        <f t="shared" si="5"/>
        <v>0.01819986764</v>
      </c>
      <c r="J350" s="20">
        <f>'IG Raw Data'!E350</f>
        <v>55</v>
      </c>
      <c r="K350" s="22">
        <f t="shared" si="6"/>
        <v>113.7636364</v>
      </c>
      <c r="L350" s="22">
        <f>'IG Raw Data'!F350</f>
        <v>6257</v>
      </c>
    </row>
    <row r="351">
      <c r="A351" s="11">
        <f>'IG Raw Data'!A351</f>
        <v>46007</v>
      </c>
      <c r="B351" s="14">
        <f t="shared" si="1"/>
        <v>12</v>
      </c>
      <c r="C351" s="16">
        <f>'IG Raw Data'!B351</f>
        <v>88263</v>
      </c>
      <c r="D351" s="17">
        <f t="shared" si="2"/>
        <v>0.02545800619</v>
      </c>
      <c r="E351" s="16">
        <f>'IG Raw Data'!C351</f>
        <v>2247</v>
      </c>
      <c r="F351" s="19">
        <f t="shared" si="3"/>
        <v>1.249221184</v>
      </c>
      <c r="G351" s="19">
        <f t="shared" si="4"/>
        <v>31.80268062</v>
      </c>
      <c r="H351" s="19">
        <f>'IG Raw Data'!D351</f>
        <v>2807</v>
      </c>
      <c r="I351" s="17">
        <f t="shared" si="5"/>
        <v>0.02403204272</v>
      </c>
      <c r="J351" s="20">
        <f>'IG Raw Data'!E351</f>
        <v>54</v>
      </c>
      <c r="K351" s="22">
        <f t="shared" si="6"/>
        <v>198.4814815</v>
      </c>
      <c r="L351" s="22">
        <f>'IG Raw Data'!F351</f>
        <v>10718</v>
      </c>
    </row>
    <row r="352">
      <c r="A352" s="11">
        <f>'IG Raw Data'!A352</f>
        <v>46008</v>
      </c>
      <c r="B352" s="14">
        <f t="shared" si="1"/>
        <v>12</v>
      </c>
      <c r="C352" s="16">
        <f>'IG Raw Data'!B352</f>
        <v>47023</v>
      </c>
      <c r="D352" s="17">
        <f t="shared" si="2"/>
        <v>0.01573697978</v>
      </c>
      <c r="E352" s="16">
        <f>'IG Raw Data'!C352</f>
        <v>740</v>
      </c>
      <c r="F352" s="19">
        <f t="shared" si="3"/>
        <v>1.368918919</v>
      </c>
      <c r="G352" s="19">
        <f t="shared" si="4"/>
        <v>21.54264934</v>
      </c>
      <c r="H352" s="19">
        <f>'IG Raw Data'!D352</f>
        <v>1013</v>
      </c>
      <c r="I352" s="17">
        <f t="shared" si="5"/>
        <v>0.01216216216</v>
      </c>
      <c r="J352" s="20">
        <f>'IG Raw Data'!E352</f>
        <v>9</v>
      </c>
      <c r="K352" s="22">
        <f t="shared" si="6"/>
        <v>199.7777778</v>
      </c>
      <c r="L352" s="22">
        <f>'IG Raw Data'!F352</f>
        <v>1798</v>
      </c>
    </row>
    <row r="353">
      <c r="A353" s="11">
        <f>'IG Raw Data'!A353</f>
        <v>46009</v>
      </c>
      <c r="B353" s="14">
        <f t="shared" si="1"/>
        <v>12</v>
      </c>
      <c r="C353" s="16">
        <f>'IG Raw Data'!B353</f>
        <v>92320</v>
      </c>
      <c r="D353" s="17">
        <f t="shared" si="2"/>
        <v>0.01947573657</v>
      </c>
      <c r="E353" s="16">
        <f>'IG Raw Data'!C353</f>
        <v>1798</v>
      </c>
      <c r="F353" s="19">
        <f t="shared" si="3"/>
        <v>1.602335929</v>
      </c>
      <c r="G353" s="19">
        <f t="shared" si="4"/>
        <v>31.20667244</v>
      </c>
      <c r="H353" s="19">
        <f>'IG Raw Data'!D353</f>
        <v>2881</v>
      </c>
      <c r="I353" s="17">
        <f t="shared" si="5"/>
        <v>0.01668520578</v>
      </c>
      <c r="J353" s="20">
        <f>'IG Raw Data'!E353</f>
        <v>30</v>
      </c>
      <c r="K353" s="22">
        <f t="shared" si="6"/>
        <v>180.4333333</v>
      </c>
      <c r="L353" s="22">
        <f>'IG Raw Data'!F353</f>
        <v>5413</v>
      </c>
    </row>
    <row r="354">
      <c r="A354" s="11">
        <f>'IG Raw Data'!A354</f>
        <v>46010</v>
      </c>
      <c r="B354" s="14">
        <f t="shared" si="1"/>
        <v>12</v>
      </c>
      <c r="C354" s="16">
        <f>'IG Raw Data'!B354</f>
        <v>75577</v>
      </c>
      <c r="D354" s="17">
        <f t="shared" si="2"/>
        <v>0.02941371052</v>
      </c>
      <c r="E354" s="16">
        <f>'IG Raw Data'!C354</f>
        <v>2223</v>
      </c>
      <c r="F354" s="19">
        <f t="shared" si="3"/>
        <v>1.804768331</v>
      </c>
      <c r="G354" s="19">
        <f t="shared" si="4"/>
        <v>53.08493325</v>
      </c>
      <c r="H354" s="19">
        <f>'IG Raw Data'!D354</f>
        <v>4012</v>
      </c>
      <c r="I354" s="17">
        <f t="shared" si="5"/>
        <v>0.01574448943</v>
      </c>
      <c r="J354" s="20">
        <f>'IG Raw Data'!E354</f>
        <v>35</v>
      </c>
      <c r="K354" s="22">
        <f t="shared" si="6"/>
        <v>136.8857143</v>
      </c>
      <c r="L354" s="22">
        <f>'IG Raw Data'!F354</f>
        <v>4791</v>
      </c>
    </row>
    <row r="355">
      <c r="A355" s="11">
        <f>'IG Raw Data'!A355</f>
        <v>46011</v>
      </c>
      <c r="B355" s="14">
        <f t="shared" si="1"/>
        <v>12</v>
      </c>
      <c r="C355" s="16">
        <f>'IG Raw Data'!B355</f>
        <v>97231</v>
      </c>
      <c r="D355" s="17">
        <f t="shared" si="2"/>
        <v>0.02580452736</v>
      </c>
      <c r="E355" s="16">
        <f>'IG Raw Data'!C355</f>
        <v>2509</v>
      </c>
      <c r="F355" s="19">
        <f t="shared" si="3"/>
        <v>1.330011957</v>
      </c>
      <c r="G355" s="19">
        <f t="shared" si="4"/>
        <v>34.32032994</v>
      </c>
      <c r="H355" s="19">
        <f>'IG Raw Data'!D355</f>
        <v>3337</v>
      </c>
      <c r="I355" s="17">
        <f t="shared" si="5"/>
        <v>0.01474691112</v>
      </c>
      <c r="J355" s="20">
        <f>'IG Raw Data'!E355</f>
        <v>37</v>
      </c>
      <c r="K355" s="22">
        <f t="shared" si="6"/>
        <v>166.6486486</v>
      </c>
      <c r="L355" s="22">
        <f>'IG Raw Data'!F355</f>
        <v>6166</v>
      </c>
    </row>
    <row r="356">
      <c r="A356" s="11">
        <f>'IG Raw Data'!A356</f>
        <v>46012</v>
      </c>
      <c r="B356" s="14">
        <f t="shared" si="1"/>
        <v>12</v>
      </c>
      <c r="C356" s="16">
        <f>'IG Raw Data'!B356</f>
        <v>22728</v>
      </c>
      <c r="D356" s="17">
        <f t="shared" si="2"/>
        <v>0.01157162971</v>
      </c>
      <c r="E356" s="16">
        <f>'IG Raw Data'!C356</f>
        <v>263</v>
      </c>
      <c r="F356" s="19">
        <f t="shared" si="3"/>
        <v>1.501901141</v>
      </c>
      <c r="G356" s="19">
        <f t="shared" si="4"/>
        <v>17.37944386</v>
      </c>
      <c r="H356" s="19">
        <f>'IG Raw Data'!D356</f>
        <v>395</v>
      </c>
      <c r="I356" s="17">
        <f t="shared" si="5"/>
        <v>0.01520912548</v>
      </c>
      <c r="J356" s="20">
        <f>'IG Raw Data'!E356</f>
        <v>4</v>
      </c>
      <c r="K356" s="22">
        <f t="shared" si="6"/>
        <v>199.75</v>
      </c>
      <c r="L356" s="22">
        <f>'IG Raw Data'!F356</f>
        <v>799</v>
      </c>
    </row>
    <row r="357">
      <c r="A357" s="11">
        <f>'IG Raw Data'!A357</f>
        <v>46013</v>
      </c>
      <c r="B357" s="14">
        <f t="shared" si="1"/>
        <v>12</v>
      </c>
      <c r="C357" s="16">
        <f>'IG Raw Data'!B357</f>
        <v>67243</v>
      </c>
      <c r="D357" s="17">
        <f t="shared" si="2"/>
        <v>0.01680472317</v>
      </c>
      <c r="E357" s="16">
        <f>'IG Raw Data'!C357</f>
        <v>1130</v>
      </c>
      <c r="F357" s="19">
        <f t="shared" si="3"/>
        <v>1.155752212</v>
      </c>
      <c r="G357" s="19">
        <f t="shared" si="4"/>
        <v>19.42209598</v>
      </c>
      <c r="H357" s="19">
        <f>'IG Raw Data'!D357</f>
        <v>1306</v>
      </c>
      <c r="I357" s="17">
        <f t="shared" si="5"/>
        <v>0.01415929204</v>
      </c>
      <c r="J357" s="20">
        <f>'IG Raw Data'!E357</f>
        <v>16</v>
      </c>
      <c r="K357" s="22">
        <f t="shared" si="6"/>
        <v>122.5</v>
      </c>
      <c r="L357" s="22">
        <f>'IG Raw Data'!F357</f>
        <v>1960</v>
      </c>
    </row>
    <row r="358">
      <c r="A358" s="11">
        <f>'IG Raw Data'!A358</f>
        <v>46014</v>
      </c>
      <c r="B358" s="14">
        <f t="shared" si="1"/>
        <v>12</v>
      </c>
      <c r="C358" s="16">
        <f>'IG Raw Data'!B358</f>
        <v>68598</v>
      </c>
      <c r="D358" s="17">
        <f t="shared" si="2"/>
        <v>0.01163299222</v>
      </c>
      <c r="E358" s="16">
        <f>'IG Raw Data'!C358</f>
        <v>798</v>
      </c>
      <c r="F358" s="19">
        <f t="shared" si="3"/>
        <v>1.483709273</v>
      </c>
      <c r="G358" s="19">
        <f t="shared" si="4"/>
        <v>17.25997843</v>
      </c>
      <c r="H358" s="19">
        <f>'IG Raw Data'!D358</f>
        <v>1184</v>
      </c>
      <c r="I358" s="17">
        <f t="shared" si="5"/>
        <v>0.02005012531</v>
      </c>
      <c r="J358" s="20">
        <f>'IG Raw Data'!E358</f>
        <v>16</v>
      </c>
      <c r="K358" s="22">
        <f t="shared" si="6"/>
        <v>192.25</v>
      </c>
      <c r="L358" s="22">
        <f>'IG Raw Data'!F358</f>
        <v>3076</v>
      </c>
    </row>
    <row r="359">
      <c r="A359" s="11">
        <f>'IG Raw Data'!A359</f>
        <v>46015</v>
      </c>
      <c r="B359" s="14">
        <f t="shared" si="1"/>
        <v>12</v>
      </c>
      <c r="C359" s="16">
        <f>'IG Raw Data'!B359</f>
        <v>72214</v>
      </c>
      <c r="D359" s="17">
        <f t="shared" si="2"/>
        <v>0.02333342565</v>
      </c>
      <c r="E359" s="16">
        <f>'IG Raw Data'!C359</f>
        <v>1685</v>
      </c>
      <c r="F359" s="19">
        <f t="shared" si="3"/>
        <v>1.282492582</v>
      </c>
      <c r="G359" s="19">
        <f t="shared" si="4"/>
        <v>29.9249453</v>
      </c>
      <c r="H359" s="19">
        <f>'IG Raw Data'!D359</f>
        <v>2161</v>
      </c>
      <c r="I359" s="17">
        <f t="shared" si="5"/>
        <v>0.01899109792</v>
      </c>
      <c r="J359" s="20">
        <f>'IG Raw Data'!E359</f>
        <v>32</v>
      </c>
      <c r="K359" s="22">
        <f t="shared" si="6"/>
        <v>143.21875</v>
      </c>
      <c r="L359" s="22">
        <f>'IG Raw Data'!F359</f>
        <v>4583</v>
      </c>
    </row>
    <row r="360">
      <c r="A360" s="11">
        <f>'IG Raw Data'!A360</f>
        <v>46016</v>
      </c>
      <c r="B360" s="14">
        <f t="shared" si="1"/>
        <v>12</v>
      </c>
      <c r="C360" s="16">
        <f>'IG Raw Data'!B360</f>
        <v>101958</v>
      </c>
      <c r="D360" s="17">
        <f t="shared" si="2"/>
        <v>0.01348594519</v>
      </c>
      <c r="E360" s="16">
        <f>'IG Raw Data'!C360</f>
        <v>1375</v>
      </c>
      <c r="F360" s="19">
        <f t="shared" si="3"/>
        <v>1.107636364</v>
      </c>
      <c r="G360" s="19">
        <f t="shared" si="4"/>
        <v>14.93752329</v>
      </c>
      <c r="H360" s="19">
        <f>'IG Raw Data'!D360</f>
        <v>1523</v>
      </c>
      <c r="I360" s="17">
        <f t="shared" si="5"/>
        <v>0.016</v>
      </c>
      <c r="J360" s="20">
        <f>'IG Raw Data'!E360</f>
        <v>22</v>
      </c>
      <c r="K360" s="22">
        <f t="shared" si="6"/>
        <v>140.6818182</v>
      </c>
      <c r="L360" s="22">
        <f>'IG Raw Data'!F360</f>
        <v>3095</v>
      </c>
    </row>
    <row r="361">
      <c r="A361" s="11">
        <f>'IG Raw Data'!A361</f>
        <v>46017</v>
      </c>
      <c r="B361" s="14">
        <f t="shared" si="1"/>
        <v>12</v>
      </c>
      <c r="C361" s="16">
        <f>'IG Raw Data'!B361</f>
        <v>28717</v>
      </c>
      <c r="D361" s="17">
        <f t="shared" si="2"/>
        <v>0.02054532159</v>
      </c>
      <c r="E361" s="16">
        <f>'IG Raw Data'!C361</f>
        <v>590</v>
      </c>
      <c r="F361" s="19">
        <f t="shared" si="3"/>
        <v>1.088135593</v>
      </c>
      <c r="G361" s="19">
        <f t="shared" si="4"/>
        <v>22.35609569</v>
      </c>
      <c r="H361" s="19">
        <f>'IG Raw Data'!D361</f>
        <v>642</v>
      </c>
      <c r="I361" s="17">
        <f t="shared" si="5"/>
        <v>0.01355932203</v>
      </c>
      <c r="J361" s="20">
        <f>'IG Raw Data'!E361</f>
        <v>8</v>
      </c>
      <c r="K361" s="22">
        <f t="shared" si="6"/>
        <v>174.625</v>
      </c>
      <c r="L361" s="22">
        <f>'IG Raw Data'!F361</f>
        <v>1397</v>
      </c>
    </row>
    <row r="362">
      <c r="A362" s="11">
        <f>'IG Raw Data'!A362</f>
        <v>46018</v>
      </c>
      <c r="B362" s="14">
        <f t="shared" si="1"/>
        <v>12</v>
      </c>
      <c r="C362" s="16">
        <f>'IG Raw Data'!B362</f>
        <v>98027</v>
      </c>
      <c r="D362" s="17">
        <f t="shared" si="2"/>
        <v>0.02389137687</v>
      </c>
      <c r="E362" s="16">
        <f>'IG Raw Data'!C362</f>
        <v>2342</v>
      </c>
      <c r="F362" s="19">
        <f t="shared" si="3"/>
        <v>1.020068318</v>
      </c>
      <c r="G362" s="19">
        <f t="shared" si="4"/>
        <v>24.37083661</v>
      </c>
      <c r="H362" s="19">
        <f>'IG Raw Data'!D362</f>
        <v>2389</v>
      </c>
      <c r="I362" s="17">
        <f t="shared" si="5"/>
        <v>0.01152860803</v>
      </c>
      <c r="J362" s="20">
        <f>'IG Raw Data'!E362</f>
        <v>27</v>
      </c>
      <c r="K362" s="22">
        <f t="shared" si="6"/>
        <v>185.5555556</v>
      </c>
      <c r="L362" s="22">
        <f>'IG Raw Data'!F362</f>
        <v>5010</v>
      </c>
    </row>
    <row r="363">
      <c r="A363" s="11">
        <f>'IG Raw Data'!A363</f>
        <v>46019</v>
      </c>
      <c r="B363" s="14">
        <f t="shared" si="1"/>
        <v>12</v>
      </c>
      <c r="C363" s="16">
        <f>'IG Raw Data'!B363</f>
        <v>93487</v>
      </c>
      <c r="D363" s="17">
        <f t="shared" si="2"/>
        <v>0.02536181501</v>
      </c>
      <c r="E363" s="16">
        <f>'IG Raw Data'!C363</f>
        <v>2371</v>
      </c>
      <c r="F363" s="19">
        <f t="shared" si="3"/>
        <v>1.687895403</v>
      </c>
      <c r="G363" s="19">
        <f t="shared" si="4"/>
        <v>42.80809096</v>
      </c>
      <c r="H363" s="19">
        <f>'IG Raw Data'!D363</f>
        <v>4002</v>
      </c>
      <c r="I363" s="17">
        <f t="shared" si="5"/>
        <v>0.01771404471</v>
      </c>
      <c r="J363" s="20">
        <f>'IG Raw Data'!E363</f>
        <v>42</v>
      </c>
      <c r="K363" s="22">
        <f t="shared" si="6"/>
        <v>160.7380952</v>
      </c>
      <c r="L363" s="22">
        <f>'IG Raw Data'!F363</f>
        <v>6751</v>
      </c>
    </row>
    <row r="364">
      <c r="A364" s="11">
        <f>'IG Raw Data'!A364</f>
        <v>46020</v>
      </c>
      <c r="B364" s="14">
        <f t="shared" si="1"/>
        <v>12</v>
      </c>
      <c r="C364" s="16">
        <f>'IG Raw Data'!B364</f>
        <v>56358</v>
      </c>
      <c r="D364" s="17">
        <f t="shared" si="2"/>
        <v>0.01999716101</v>
      </c>
      <c r="E364" s="16">
        <f>'IG Raw Data'!C364</f>
        <v>1127</v>
      </c>
      <c r="F364" s="19">
        <f t="shared" si="3"/>
        <v>1.123336291</v>
      </c>
      <c r="G364" s="19">
        <f t="shared" si="4"/>
        <v>22.46353668</v>
      </c>
      <c r="H364" s="19">
        <f>'IG Raw Data'!D364</f>
        <v>1266</v>
      </c>
      <c r="I364" s="17">
        <f t="shared" si="5"/>
        <v>0.01330967169</v>
      </c>
      <c r="J364" s="20">
        <f>'IG Raw Data'!E364</f>
        <v>15</v>
      </c>
      <c r="K364" s="22">
        <f t="shared" si="6"/>
        <v>108.4</v>
      </c>
      <c r="L364" s="22">
        <f>'IG Raw Data'!F364</f>
        <v>1626</v>
      </c>
    </row>
    <row r="365">
      <c r="A365" s="11">
        <f>'IG Raw Data'!A365</f>
        <v>46021</v>
      </c>
      <c r="B365" s="14">
        <f t="shared" si="1"/>
        <v>12</v>
      </c>
      <c r="C365" s="16">
        <f>'IG Raw Data'!B365</f>
        <v>46415</v>
      </c>
      <c r="D365" s="17">
        <f t="shared" si="2"/>
        <v>0.02533663686</v>
      </c>
      <c r="E365" s="16">
        <f>'IG Raw Data'!C365</f>
        <v>1176</v>
      </c>
      <c r="F365" s="19">
        <f t="shared" si="3"/>
        <v>1.492346939</v>
      </c>
      <c r="G365" s="19">
        <f t="shared" si="4"/>
        <v>37.81105246</v>
      </c>
      <c r="H365" s="19">
        <f>'IG Raw Data'!D365</f>
        <v>1755</v>
      </c>
      <c r="I365" s="17">
        <f t="shared" si="5"/>
        <v>0.01955782313</v>
      </c>
      <c r="J365" s="20">
        <f>'IG Raw Data'!E365</f>
        <v>23</v>
      </c>
      <c r="K365" s="22">
        <f t="shared" si="6"/>
        <v>163.9130435</v>
      </c>
      <c r="L365" s="22">
        <f>'IG Raw Data'!F365</f>
        <v>3770</v>
      </c>
    </row>
    <row r="366">
      <c r="A366" s="11">
        <f>'IG Raw Data'!A366</f>
        <v>46022</v>
      </c>
      <c r="B366" s="14">
        <f t="shared" si="1"/>
        <v>12</v>
      </c>
      <c r="C366" s="16">
        <f>'IG Raw Data'!B366</f>
        <v>83988</v>
      </c>
      <c r="D366" s="17">
        <f t="shared" si="2"/>
        <v>0.02599180835</v>
      </c>
      <c r="E366" s="16">
        <f>'IG Raw Data'!C366</f>
        <v>2183</v>
      </c>
      <c r="F366" s="19">
        <f t="shared" si="3"/>
        <v>1.016491067</v>
      </c>
      <c r="G366" s="19">
        <f t="shared" si="4"/>
        <v>26.42044102</v>
      </c>
      <c r="H366" s="19">
        <f>'IG Raw Data'!D366</f>
        <v>2219</v>
      </c>
      <c r="I366" s="17">
        <f t="shared" si="5"/>
        <v>0.01878149336</v>
      </c>
      <c r="J366" s="20">
        <f>'IG Raw Data'!E366</f>
        <v>41</v>
      </c>
      <c r="K366" s="22">
        <f t="shared" si="6"/>
        <v>145.097561</v>
      </c>
      <c r="L366" s="22">
        <f>'IG Raw Data'!F366</f>
        <v>5949</v>
      </c>
    </row>
    <row r="367">
      <c r="A367" s="11"/>
      <c r="D367" s="17"/>
      <c r="I367" s="17"/>
      <c r="J367" s="20"/>
    </row>
    <row r="368">
      <c r="A368" s="11"/>
      <c r="D368" s="17"/>
      <c r="I368" s="17"/>
      <c r="J368" s="20"/>
    </row>
    <row r="369">
      <c r="A369" s="11"/>
      <c r="B369" s="17"/>
      <c r="D369" s="17"/>
      <c r="I369" s="17"/>
      <c r="J369" s="20"/>
    </row>
    <row r="370">
      <c r="A370" s="11"/>
      <c r="B370" s="17"/>
      <c r="D370" s="17"/>
      <c r="I370" s="17"/>
      <c r="J370" s="20"/>
    </row>
    <row r="371">
      <c r="A371" s="11"/>
      <c r="B371" s="17"/>
      <c r="D371" s="17"/>
      <c r="I371" s="17"/>
      <c r="J371" s="20"/>
    </row>
    <row r="372">
      <c r="A372" s="11"/>
      <c r="B372" s="17"/>
      <c r="D372" s="17"/>
      <c r="I372" s="17"/>
      <c r="J372" s="20"/>
    </row>
    <row r="373">
      <c r="A373" s="11"/>
      <c r="B373" s="17"/>
      <c r="D373" s="17"/>
      <c r="I373" s="17"/>
      <c r="J373" s="20"/>
    </row>
    <row r="374">
      <c r="A374" s="11"/>
      <c r="B374" s="17"/>
      <c r="D374" s="17"/>
      <c r="I374" s="17"/>
      <c r="J374" s="20"/>
    </row>
    <row r="375">
      <c r="A375" s="11"/>
      <c r="B375" s="17"/>
      <c r="D375" s="17"/>
      <c r="I375" s="17"/>
      <c r="J375" s="20"/>
    </row>
    <row r="376">
      <c r="A376" s="11"/>
      <c r="B376" s="17"/>
      <c r="D376" s="17"/>
      <c r="I376" s="17"/>
      <c r="J376" s="20"/>
    </row>
    <row r="377">
      <c r="A377" s="11"/>
      <c r="B377" s="17"/>
      <c r="D377" s="17"/>
      <c r="I377" s="17"/>
      <c r="J377" s="20"/>
    </row>
    <row r="378">
      <c r="A378" s="11"/>
      <c r="B378" s="17"/>
      <c r="D378" s="17"/>
      <c r="I378" s="17"/>
      <c r="J378" s="20"/>
    </row>
    <row r="379">
      <c r="A379" s="11"/>
      <c r="B379" s="17"/>
      <c r="D379" s="17"/>
      <c r="I379" s="17"/>
      <c r="J379" s="20"/>
    </row>
    <row r="380">
      <c r="A380" s="11"/>
      <c r="B380" s="17"/>
      <c r="D380" s="17"/>
      <c r="I380" s="17"/>
      <c r="J380" s="20"/>
    </row>
    <row r="381">
      <c r="A381" s="11"/>
      <c r="B381" s="17"/>
      <c r="D381" s="17"/>
      <c r="I381" s="17"/>
      <c r="J381" s="20"/>
    </row>
    <row r="382">
      <c r="A382" s="11"/>
      <c r="B382" s="17"/>
      <c r="D382" s="17"/>
      <c r="I382" s="17"/>
      <c r="J382" s="20"/>
    </row>
    <row r="383">
      <c r="A383" s="11"/>
      <c r="B383" s="17"/>
      <c r="D383" s="17"/>
      <c r="I383" s="17"/>
      <c r="J383" s="20"/>
    </row>
    <row r="384">
      <c r="A384" s="11"/>
      <c r="B384" s="17"/>
      <c r="D384" s="17"/>
      <c r="I384" s="17"/>
      <c r="J384" s="20"/>
    </row>
    <row r="385">
      <c r="A385" s="11"/>
      <c r="B385" s="17"/>
      <c r="D385" s="17"/>
      <c r="I385" s="17"/>
      <c r="J385" s="20"/>
    </row>
    <row r="386">
      <c r="A386" s="11"/>
      <c r="B386" s="17"/>
      <c r="D386" s="17"/>
      <c r="I386" s="17"/>
      <c r="J386" s="20"/>
    </row>
    <row r="387">
      <c r="A387" s="11"/>
      <c r="B387" s="17"/>
      <c r="D387" s="17"/>
      <c r="I387" s="17"/>
      <c r="J387" s="20"/>
    </row>
    <row r="388">
      <c r="A388" s="11"/>
      <c r="B388" s="17"/>
      <c r="D388" s="17"/>
      <c r="I388" s="17"/>
      <c r="J388" s="20"/>
    </row>
    <row r="389">
      <c r="A389" s="11"/>
      <c r="B389" s="17"/>
      <c r="D389" s="17"/>
      <c r="I389" s="17"/>
      <c r="J389" s="20"/>
    </row>
    <row r="390">
      <c r="A390" s="11"/>
      <c r="B390" s="17"/>
      <c r="D390" s="17"/>
      <c r="I390" s="17"/>
      <c r="J390" s="20"/>
    </row>
    <row r="391">
      <c r="A391" s="11"/>
      <c r="B391" s="17"/>
      <c r="D391" s="17"/>
      <c r="I391" s="17"/>
      <c r="J391" s="20"/>
    </row>
    <row r="392">
      <c r="A392" s="11"/>
      <c r="B392" s="17"/>
      <c r="D392" s="17"/>
      <c r="I392" s="17"/>
      <c r="J392" s="20"/>
    </row>
    <row r="393">
      <c r="A393" s="11"/>
      <c r="B393" s="17"/>
      <c r="D393" s="17"/>
      <c r="I393" s="17"/>
      <c r="J393" s="20"/>
    </row>
    <row r="394">
      <c r="A394" s="11"/>
      <c r="B394" s="17"/>
      <c r="D394" s="17"/>
      <c r="I394" s="17"/>
      <c r="J394" s="20"/>
    </row>
    <row r="395">
      <c r="A395" s="11"/>
      <c r="B395" s="17"/>
      <c r="D395" s="17"/>
      <c r="I395" s="17"/>
      <c r="J395" s="20"/>
    </row>
    <row r="396">
      <c r="A396" s="11"/>
      <c r="B396" s="17"/>
      <c r="D396" s="17"/>
      <c r="I396" s="17"/>
      <c r="J396" s="20"/>
    </row>
    <row r="397">
      <c r="A397" s="11"/>
      <c r="B397" s="17"/>
      <c r="D397" s="17"/>
      <c r="I397" s="17"/>
      <c r="J397" s="20"/>
    </row>
    <row r="398">
      <c r="A398" s="11"/>
      <c r="B398" s="17"/>
      <c r="D398" s="17"/>
      <c r="I398" s="17"/>
      <c r="J398" s="20"/>
    </row>
    <row r="399">
      <c r="A399" s="11"/>
      <c r="B399" s="17"/>
      <c r="D399" s="17"/>
      <c r="I399" s="17"/>
      <c r="J399" s="20"/>
    </row>
    <row r="400">
      <c r="A400" s="11"/>
      <c r="B400" s="17"/>
      <c r="D400" s="17"/>
      <c r="I400" s="17"/>
      <c r="J400" s="20"/>
    </row>
    <row r="401">
      <c r="A401" s="11"/>
      <c r="B401" s="17"/>
      <c r="D401" s="17"/>
      <c r="I401" s="17"/>
      <c r="J401" s="20"/>
    </row>
    <row r="402">
      <c r="A402" s="11"/>
      <c r="B402" s="17"/>
      <c r="D402" s="17"/>
      <c r="I402" s="17"/>
      <c r="J402" s="20"/>
    </row>
    <row r="403">
      <c r="A403" s="11"/>
      <c r="B403" s="17"/>
      <c r="D403" s="17"/>
      <c r="I403" s="17"/>
      <c r="J403" s="20"/>
    </row>
    <row r="404">
      <c r="A404" s="11"/>
      <c r="B404" s="17"/>
      <c r="D404" s="17"/>
      <c r="I404" s="17"/>
      <c r="J404" s="20"/>
    </row>
    <row r="405">
      <c r="A405" s="11"/>
      <c r="B405" s="17"/>
      <c r="D405" s="17"/>
      <c r="I405" s="17"/>
      <c r="J405" s="20"/>
    </row>
    <row r="406">
      <c r="A406" s="11"/>
      <c r="B406" s="17"/>
      <c r="D406" s="17"/>
      <c r="I406" s="17"/>
      <c r="J406" s="20"/>
    </row>
    <row r="407">
      <c r="A407" s="11"/>
      <c r="B407" s="17"/>
      <c r="D407" s="17"/>
      <c r="I407" s="17"/>
      <c r="J407" s="20"/>
    </row>
    <row r="408">
      <c r="A408" s="11"/>
      <c r="B408" s="17"/>
      <c r="D408" s="17"/>
      <c r="I408" s="17"/>
      <c r="J408" s="20"/>
    </row>
    <row r="409">
      <c r="A409" s="11"/>
      <c r="B409" s="17"/>
      <c r="D409" s="17"/>
      <c r="I409" s="17"/>
      <c r="J409" s="20"/>
    </row>
    <row r="410">
      <c r="A410" s="11"/>
      <c r="B410" s="17"/>
      <c r="D410" s="17"/>
      <c r="I410" s="17"/>
      <c r="J410" s="20"/>
    </row>
    <row r="411">
      <c r="A411" s="11"/>
      <c r="B411" s="17"/>
      <c r="D411" s="17"/>
      <c r="I411" s="17"/>
      <c r="J411" s="20"/>
    </row>
    <row r="412">
      <c r="A412" s="11"/>
      <c r="B412" s="17"/>
      <c r="D412" s="17"/>
      <c r="I412" s="17"/>
      <c r="J412" s="20"/>
    </row>
    <row r="413">
      <c r="A413" s="11"/>
      <c r="B413" s="17"/>
      <c r="D413" s="17"/>
      <c r="I413" s="17"/>
      <c r="J413" s="20"/>
    </row>
    <row r="414">
      <c r="A414" s="11"/>
      <c r="B414" s="17"/>
      <c r="D414" s="17"/>
      <c r="I414" s="17"/>
      <c r="J414" s="20"/>
    </row>
    <row r="415">
      <c r="A415" s="11"/>
      <c r="B415" s="17"/>
      <c r="D415" s="17"/>
      <c r="I415" s="17"/>
      <c r="J415" s="20"/>
    </row>
    <row r="416">
      <c r="A416" s="11"/>
      <c r="B416" s="17"/>
      <c r="D416" s="17"/>
      <c r="I416" s="17"/>
      <c r="J416" s="20"/>
    </row>
    <row r="417">
      <c r="A417" s="11"/>
      <c r="B417" s="17"/>
      <c r="D417" s="17"/>
      <c r="I417" s="17"/>
      <c r="J417" s="20"/>
    </row>
    <row r="418">
      <c r="A418" s="11"/>
      <c r="B418" s="17"/>
      <c r="D418" s="17"/>
      <c r="I418" s="17"/>
      <c r="J418" s="20"/>
    </row>
    <row r="419">
      <c r="A419" s="11"/>
      <c r="B419" s="17"/>
      <c r="D419" s="17"/>
      <c r="I419" s="17"/>
      <c r="J419" s="20"/>
    </row>
    <row r="420">
      <c r="A420" s="11"/>
      <c r="B420" s="17"/>
      <c r="D420" s="17"/>
      <c r="I420" s="17"/>
      <c r="J420" s="20"/>
    </row>
    <row r="421">
      <c r="A421" s="11"/>
      <c r="B421" s="17"/>
      <c r="D421" s="17"/>
      <c r="I421" s="17"/>
      <c r="J421" s="20"/>
    </row>
    <row r="422">
      <c r="A422" s="11"/>
      <c r="B422" s="17"/>
      <c r="D422" s="17"/>
      <c r="I422" s="17"/>
      <c r="J422" s="20"/>
    </row>
    <row r="423">
      <c r="A423" s="11"/>
      <c r="B423" s="17"/>
      <c r="D423" s="17"/>
      <c r="I423" s="17"/>
      <c r="J423" s="20"/>
    </row>
    <row r="424">
      <c r="A424" s="11"/>
      <c r="B424" s="17"/>
      <c r="D424" s="17"/>
      <c r="I424" s="17"/>
      <c r="J424" s="20"/>
    </row>
    <row r="425">
      <c r="A425" s="11"/>
      <c r="B425" s="17"/>
      <c r="D425" s="17"/>
      <c r="I425" s="17"/>
      <c r="J425" s="20"/>
    </row>
    <row r="426">
      <c r="A426" s="11"/>
      <c r="B426" s="17"/>
      <c r="D426" s="17"/>
      <c r="I426" s="17"/>
      <c r="J426" s="20"/>
    </row>
    <row r="427">
      <c r="A427" s="11"/>
      <c r="B427" s="17"/>
      <c r="D427" s="17"/>
      <c r="I427" s="17"/>
      <c r="J427" s="20"/>
    </row>
    <row r="428">
      <c r="A428" s="11"/>
      <c r="B428" s="17"/>
      <c r="D428" s="17"/>
      <c r="I428" s="17"/>
      <c r="J428" s="20"/>
    </row>
    <row r="429">
      <c r="A429" s="11"/>
      <c r="B429" s="17"/>
      <c r="D429" s="17"/>
      <c r="I429" s="17"/>
      <c r="J429" s="20"/>
    </row>
    <row r="430">
      <c r="A430" s="11"/>
      <c r="B430" s="17"/>
      <c r="D430" s="17"/>
      <c r="I430" s="17"/>
      <c r="J430" s="20"/>
    </row>
    <row r="431">
      <c r="A431" s="11"/>
      <c r="B431" s="17"/>
      <c r="D431" s="17"/>
      <c r="I431" s="17"/>
      <c r="J431" s="20"/>
    </row>
    <row r="432">
      <c r="A432" s="11"/>
      <c r="B432" s="17"/>
      <c r="D432" s="17"/>
      <c r="I432" s="17"/>
      <c r="J432" s="20"/>
    </row>
    <row r="433">
      <c r="A433" s="11"/>
      <c r="B433" s="17"/>
      <c r="D433" s="17"/>
      <c r="I433" s="17"/>
      <c r="J433" s="20"/>
    </row>
    <row r="434">
      <c r="A434" s="11"/>
      <c r="B434" s="17"/>
      <c r="D434" s="17"/>
      <c r="I434" s="17"/>
      <c r="J434" s="20"/>
    </row>
    <row r="435">
      <c r="A435" s="11"/>
      <c r="B435" s="17"/>
      <c r="D435" s="17"/>
      <c r="I435" s="17"/>
      <c r="J435" s="20"/>
    </row>
    <row r="436">
      <c r="A436" s="11"/>
      <c r="B436" s="17"/>
      <c r="D436" s="17"/>
      <c r="I436" s="17"/>
      <c r="J436" s="20"/>
    </row>
    <row r="437">
      <c r="A437" s="11"/>
      <c r="B437" s="17"/>
      <c r="D437" s="17"/>
      <c r="I437" s="17"/>
      <c r="J437" s="20"/>
    </row>
    <row r="438">
      <c r="A438" s="11"/>
      <c r="B438" s="17"/>
      <c r="D438" s="17"/>
      <c r="I438" s="17"/>
      <c r="J438" s="20"/>
    </row>
    <row r="439">
      <c r="A439" s="11"/>
      <c r="B439" s="17"/>
      <c r="D439" s="17"/>
      <c r="I439" s="17"/>
      <c r="J439" s="20"/>
    </row>
    <row r="440">
      <c r="A440" s="11"/>
      <c r="B440" s="17"/>
      <c r="D440" s="17"/>
      <c r="I440" s="17"/>
      <c r="J440" s="20"/>
    </row>
    <row r="441">
      <c r="A441" s="11"/>
      <c r="B441" s="17"/>
      <c r="D441" s="17"/>
      <c r="I441" s="17"/>
      <c r="J441" s="20"/>
    </row>
    <row r="442">
      <c r="A442" s="11"/>
      <c r="B442" s="17"/>
      <c r="D442" s="17"/>
      <c r="I442" s="17"/>
      <c r="J442" s="20"/>
    </row>
    <row r="443">
      <c r="A443" s="11"/>
      <c r="B443" s="17"/>
      <c r="D443" s="17"/>
      <c r="I443" s="17"/>
      <c r="J443" s="20"/>
    </row>
    <row r="444">
      <c r="A444" s="11"/>
      <c r="B444" s="17"/>
      <c r="D444" s="17"/>
      <c r="I444" s="17"/>
      <c r="J444" s="20"/>
    </row>
    <row r="445">
      <c r="A445" s="11"/>
      <c r="B445" s="17"/>
      <c r="D445" s="17"/>
      <c r="I445" s="17"/>
      <c r="J445" s="20"/>
    </row>
    <row r="446">
      <c r="A446" s="11"/>
      <c r="B446" s="17"/>
      <c r="D446" s="17"/>
      <c r="I446" s="17"/>
      <c r="J446" s="20"/>
    </row>
    <row r="447">
      <c r="A447" s="11"/>
      <c r="B447" s="17"/>
      <c r="D447" s="17"/>
      <c r="I447" s="17"/>
      <c r="J447" s="20"/>
    </row>
    <row r="448">
      <c r="A448" s="11"/>
      <c r="B448" s="17"/>
      <c r="D448" s="17"/>
      <c r="I448" s="17"/>
      <c r="J448" s="20"/>
    </row>
    <row r="449">
      <c r="A449" s="11"/>
      <c r="B449" s="17"/>
      <c r="D449" s="17"/>
      <c r="I449" s="17"/>
      <c r="J449" s="20"/>
    </row>
    <row r="450">
      <c r="A450" s="11"/>
      <c r="B450" s="17"/>
      <c r="D450" s="17"/>
      <c r="I450" s="17"/>
      <c r="J450" s="20"/>
    </row>
    <row r="451">
      <c r="A451" s="11"/>
      <c r="B451" s="17"/>
      <c r="D451" s="17"/>
      <c r="I451" s="17"/>
      <c r="J451" s="20"/>
    </row>
    <row r="452">
      <c r="A452" s="11"/>
      <c r="B452" s="17"/>
      <c r="D452" s="17"/>
      <c r="I452" s="17"/>
      <c r="J452" s="20"/>
    </row>
    <row r="453">
      <c r="A453" s="11"/>
      <c r="B453" s="17"/>
      <c r="D453" s="17"/>
      <c r="I453" s="17"/>
      <c r="J453" s="20"/>
    </row>
    <row r="454">
      <c r="A454" s="11"/>
      <c r="B454" s="17"/>
      <c r="D454" s="17"/>
      <c r="I454" s="17"/>
      <c r="J454" s="20"/>
    </row>
    <row r="455">
      <c r="A455" s="11"/>
      <c r="B455" s="17"/>
      <c r="D455" s="17"/>
      <c r="I455" s="17"/>
      <c r="J455" s="20"/>
    </row>
    <row r="456">
      <c r="A456" s="11"/>
      <c r="B456" s="17"/>
      <c r="D456" s="17"/>
      <c r="I456" s="17"/>
      <c r="J456" s="20"/>
    </row>
    <row r="457">
      <c r="A457" s="11"/>
      <c r="B457" s="17"/>
      <c r="D457" s="17"/>
      <c r="I457" s="17"/>
      <c r="J457" s="20"/>
    </row>
    <row r="458">
      <c r="A458" s="11"/>
      <c r="B458" s="17"/>
      <c r="D458" s="17"/>
      <c r="I458" s="17"/>
      <c r="J458" s="20"/>
    </row>
    <row r="459">
      <c r="A459" s="11"/>
      <c r="B459" s="17"/>
      <c r="D459" s="17"/>
      <c r="I459" s="17"/>
      <c r="J459" s="20"/>
    </row>
    <row r="460">
      <c r="A460" s="11"/>
      <c r="B460" s="17"/>
      <c r="D460" s="17"/>
      <c r="I460" s="17"/>
      <c r="J460" s="20"/>
    </row>
    <row r="461">
      <c r="A461" s="11"/>
      <c r="B461" s="17"/>
      <c r="D461" s="17"/>
      <c r="I461" s="17"/>
      <c r="J461" s="20"/>
    </row>
    <row r="462">
      <c r="A462" s="11"/>
      <c r="B462" s="17"/>
      <c r="D462" s="17"/>
      <c r="I462" s="17"/>
      <c r="J462" s="20"/>
    </row>
    <row r="463">
      <c r="A463" s="11"/>
      <c r="B463" s="17"/>
      <c r="D463" s="17"/>
      <c r="I463" s="17"/>
      <c r="J463" s="20"/>
    </row>
    <row r="464">
      <c r="A464" s="11"/>
      <c r="B464" s="17"/>
      <c r="D464" s="17"/>
      <c r="I464" s="17"/>
      <c r="J464" s="20"/>
    </row>
    <row r="465">
      <c r="A465" s="11"/>
      <c r="B465" s="17"/>
      <c r="D465" s="17"/>
      <c r="I465" s="17"/>
      <c r="J465" s="20"/>
    </row>
    <row r="466">
      <c r="A466" s="11"/>
      <c r="B466" s="17"/>
      <c r="D466" s="17"/>
      <c r="I466" s="17"/>
      <c r="J466" s="20"/>
    </row>
    <row r="467">
      <c r="A467" s="11"/>
      <c r="B467" s="17"/>
      <c r="D467" s="17"/>
      <c r="I467" s="17"/>
      <c r="J467" s="20"/>
    </row>
    <row r="468">
      <c r="A468" s="11"/>
      <c r="B468" s="17"/>
      <c r="D468" s="17"/>
      <c r="I468" s="17"/>
      <c r="J468" s="20"/>
    </row>
    <row r="469">
      <c r="A469" s="11"/>
      <c r="B469" s="17"/>
      <c r="D469" s="17"/>
      <c r="I469" s="17"/>
      <c r="J469" s="20"/>
    </row>
    <row r="470">
      <c r="A470" s="11"/>
      <c r="B470" s="17"/>
      <c r="D470" s="17"/>
      <c r="I470" s="17"/>
      <c r="J470" s="20"/>
    </row>
    <row r="471">
      <c r="A471" s="11"/>
      <c r="B471" s="17"/>
      <c r="D471" s="17"/>
      <c r="I471" s="17"/>
      <c r="J471" s="20"/>
    </row>
    <row r="472">
      <c r="A472" s="11"/>
      <c r="B472" s="17"/>
      <c r="D472" s="17"/>
      <c r="I472" s="17"/>
      <c r="J472" s="20"/>
    </row>
    <row r="473">
      <c r="A473" s="11"/>
      <c r="B473" s="17"/>
      <c r="D473" s="17"/>
      <c r="I473" s="17"/>
      <c r="J473" s="20"/>
    </row>
    <row r="474">
      <c r="A474" s="11"/>
      <c r="B474" s="17"/>
      <c r="D474" s="17"/>
      <c r="I474" s="17"/>
      <c r="J474" s="20"/>
    </row>
    <row r="475">
      <c r="A475" s="11"/>
      <c r="B475" s="17"/>
      <c r="D475" s="17"/>
      <c r="I475" s="17"/>
      <c r="J475" s="20"/>
    </row>
    <row r="476">
      <c r="A476" s="11"/>
      <c r="B476" s="17"/>
      <c r="D476" s="17"/>
      <c r="I476" s="17"/>
      <c r="J476" s="20"/>
    </row>
    <row r="477">
      <c r="A477" s="11"/>
      <c r="B477" s="17"/>
      <c r="D477" s="17"/>
      <c r="I477" s="17"/>
      <c r="J477" s="20"/>
    </row>
    <row r="478">
      <c r="A478" s="11"/>
      <c r="B478" s="17"/>
      <c r="D478" s="17"/>
      <c r="I478" s="17"/>
      <c r="J478" s="20"/>
    </row>
    <row r="479">
      <c r="A479" s="11"/>
      <c r="B479" s="17"/>
      <c r="D479" s="17"/>
      <c r="I479" s="17"/>
      <c r="J479" s="20"/>
    </row>
    <row r="480">
      <c r="A480" s="11"/>
      <c r="B480" s="17"/>
      <c r="D480" s="17"/>
      <c r="I480" s="17"/>
      <c r="J480" s="20"/>
    </row>
    <row r="481">
      <c r="A481" s="11"/>
      <c r="B481" s="17"/>
      <c r="D481" s="17"/>
      <c r="I481" s="17"/>
      <c r="J481" s="20"/>
    </row>
    <row r="482">
      <c r="A482" s="11"/>
      <c r="B482" s="17"/>
      <c r="D482" s="17"/>
      <c r="I482" s="17"/>
      <c r="J482" s="20"/>
    </row>
    <row r="483">
      <c r="A483" s="11"/>
      <c r="B483" s="17"/>
      <c r="D483" s="17"/>
      <c r="I483" s="17"/>
      <c r="J483" s="20"/>
    </row>
    <row r="484">
      <c r="A484" s="11"/>
      <c r="B484" s="17"/>
      <c r="D484" s="17"/>
      <c r="I484" s="17"/>
      <c r="J484" s="20"/>
    </row>
    <row r="485">
      <c r="A485" s="11"/>
      <c r="B485" s="17"/>
      <c r="D485" s="17"/>
      <c r="I485" s="17"/>
      <c r="J485" s="20"/>
    </row>
    <row r="486">
      <c r="A486" s="11"/>
      <c r="B486" s="17"/>
      <c r="D486" s="17"/>
      <c r="I486" s="17"/>
      <c r="J486" s="20"/>
    </row>
    <row r="487">
      <c r="A487" s="11"/>
      <c r="B487" s="17"/>
      <c r="D487" s="17"/>
      <c r="I487" s="17"/>
      <c r="J487" s="20"/>
    </row>
    <row r="488">
      <c r="A488" s="11"/>
      <c r="B488" s="17"/>
      <c r="D488" s="17"/>
      <c r="I488" s="17"/>
      <c r="J488" s="20"/>
    </row>
    <row r="489">
      <c r="A489" s="11"/>
      <c r="B489" s="17"/>
      <c r="D489" s="17"/>
      <c r="I489" s="17"/>
      <c r="J489" s="20"/>
    </row>
    <row r="490">
      <c r="A490" s="11"/>
      <c r="B490" s="17"/>
      <c r="D490" s="17"/>
      <c r="I490" s="17"/>
      <c r="J490" s="20"/>
    </row>
    <row r="491">
      <c r="A491" s="11"/>
      <c r="B491" s="17"/>
      <c r="D491" s="17"/>
      <c r="I491" s="17"/>
      <c r="J491" s="20"/>
    </row>
    <row r="492">
      <c r="A492" s="11"/>
      <c r="B492" s="17"/>
      <c r="D492" s="17"/>
      <c r="I492" s="17"/>
      <c r="J492" s="20"/>
    </row>
    <row r="493">
      <c r="A493" s="11"/>
      <c r="B493" s="17"/>
      <c r="D493" s="17"/>
      <c r="I493" s="17"/>
      <c r="J493" s="20"/>
    </row>
    <row r="494">
      <c r="A494" s="11"/>
      <c r="B494" s="17"/>
      <c r="D494" s="17"/>
      <c r="I494" s="17"/>
      <c r="J494" s="20"/>
    </row>
    <row r="495">
      <c r="A495" s="11"/>
      <c r="B495" s="17"/>
      <c r="D495" s="17"/>
      <c r="I495" s="17"/>
      <c r="J495" s="20"/>
    </row>
    <row r="496">
      <c r="A496" s="11"/>
      <c r="B496" s="17"/>
      <c r="D496" s="17"/>
      <c r="I496" s="17"/>
      <c r="J496" s="20"/>
    </row>
    <row r="497">
      <c r="A497" s="11"/>
      <c r="B497" s="17"/>
      <c r="D497" s="17"/>
      <c r="I497" s="17"/>
      <c r="J497" s="20"/>
    </row>
    <row r="498">
      <c r="A498" s="11"/>
      <c r="B498" s="17"/>
      <c r="D498" s="17"/>
      <c r="I498" s="17"/>
      <c r="J498" s="20"/>
    </row>
    <row r="499">
      <c r="A499" s="11"/>
      <c r="B499" s="17"/>
      <c r="D499" s="17"/>
      <c r="I499" s="17"/>
      <c r="J499" s="20"/>
    </row>
    <row r="500">
      <c r="A500" s="11"/>
      <c r="B500" s="17"/>
      <c r="D500" s="17"/>
      <c r="I500" s="17"/>
      <c r="J500" s="20"/>
    </row>
    <row r="501">
      <c r="A501" s="11"/>
      <c r="B501" s="17"/>
      <c r="D501" s="17"/>
      <c r="I501" s="17"/>
      <c r="J501" s="20"/>
    </row>
    <row r="502">
      <c r="A502" s="11"/>
      <c r="B502" s="17"/>
      <c r="D502" s="17"/>
      <c r="I502" s="17"/>
      <c r="J502" s="20"/>
    </row>
    <row r="503">
      <c r="A503" s="11"/>
      <c r="B503" s="17"/>
      <c r="D503" s="17"/>
      <c r="I503" s="17"/>
      <c r="J503" s="20"/>
    </row>
    <row r="504">
      <c r="A504" s="11"/>
      <c r="B504" s="17"/>
      <c r="D504" s="17"/>
      <c r="I504" s="17"/>
      <c r="J504" s="20"/>
    </row>
    <row r="505">
      <c r="A505" s="11"/>
      <c r="B505" s="17"/>
      <c r="D505" s="17"/>
      <c r="I505" s="17"/>
      <c r="J505" s="20"/>
    </row>
    <row r="506">
      <c r="A506" s="11"/>
      <c r="B506" s="17"/>
      <c r="D506" s="17"/>
      <c r="I506" s="17"/>
      <c r="J506" s="20"/>
    </row>
    <row r="507">
      <c r="A507" s="11"/>
      <c r="B507" s="17"/>
      <c r="D507" s="17"/>
      <c r="I507" s="17"/>
      <c r="J507" s="20"/>
    </row>
    <row r="508">
      <c r="A508" s="11"/>
      <c r="B508" s="17"/>
      <c r="D508" s="17"/>
      <c r="I508" s="17"/>
      <c r="J508" s="20"/>
    </row>
    <row r="509">
      <c r="A509" s="11"/>
      <c r="B509" s="17"/>
      <c r="D509" s="17"/>
      <c r="I509" s="17"/>
      <c r="J509" s="20"/>
    </row>
    <row r="510">
      <c r="A510" s="11"/>
      <c r="B510" s="17"/>
      <c r="D510" s="17"/>
      <c r="I510" s="17"/>
      <c r="J510" s="20"/>
    </row>
    <row r="511">
      <c r="A511" s="11"/>
      <c r="B511" s="17"/>
      <c r="D511" s="17"/>
      <c r="I511" s="17"/>
      <c r="J511" s="20"/>
    </row>
    <row r="512">
      <c r="A512" s="11"/>
      <c r="B512" s="17"/>
      <c r="D512" s="17"/>
      <c r="I512" s="17"/>
      <c r="J512" s="20"/>
    </row>
    <row r="513">
      <c r="A513" s="11"/>
      <c r="B513" s="17"/>
      <c r="D513" s="17"/>
      <c r="I513" s="17"/>
      <c r="J513" s="20"/>
    </row>
    <row r="514">
      <c r="A514" s="11"/>
      <c r="B514" s="17"/>
      <c r="D514" s="17"/>
      <c r="I514" s="17"/>
      <c r="J514" s="20"/>
    </row>
    <row r="515">
      <c r="A515" s="11"/>
      <c r="B515" s="17"/>
      <c r="D515" s="17"/>
      <c r="I515" s="17"/>
      <c r="J515" s="20"/>
    </row>
    <row r="516">
      <c r="A516" s="11"/>
      <c r="B516" s="17"/>
      <c r="D516" s="17"/>
      <c r="I516" s="17"/>
      <c r="J516" s="20"/>
    </row>
    <row r="517">
      <c r="A517" s="11"/>
      <c r="B517" s="17"/>
      <c r="D517" s="17"/>
      <c r="I517" s="17"/>
      <c r="J517" s="20"/>
    </row>
    <row r="518">
      <c r="A518" s="11"/>
      <c r="B518" s="17"/>
      <c r="D518" s="17"/>
      <c r="I518" s="17"/>
      <c r="J518" s="20"/>
    </row>
    <row r="519">
      <c r="A519" s="11"/>
      <c r="B519" s="17"/>
      <c r="D519" s="17"/>
      <c r="I519" s="17"/>
      <c r="J519" s="20"/>
    </row>
    <row r="520">
      <c r="A520" s="11"/>
      <c r="B520" s="17"/>
      <c r="D520" s="17"/>
      <c r="I520" s="17"/>
      <c r="J520" s="20"/>
    </row>
    <row r="521">
      <c r="A521" s="11"/>
      <c r="B521" s="17"/>
      <c r="D521" s="17"/>
      <c r="I521" s="17"/>
      <c r="J521" s="20"/>
    </row>
    <row r="522">
      <c r="A522" s="11"/>
      <c r="B522" s="17"/>
      <c r="D522" s="17"/>
      <c r="I522" s="17"/>
      <c r="J522" s="20"/>
    </row>
    <row r="523">
      <c r="A523" s="11"/>
      <c r="B523" s="17"/>
      <c r="D523" s="17"/>
      <c r="I523" s="17"/>
      <c r="J523" s="20"/>
    </row>
    <row r="524">
      <c r="A524" s="11"/>
      <c r="B524" s="17"/>
      <c r="D524" s="17"/>
      <c r="I524" s="17"/>
      <c r="J524" s="20"/>
    </row>
    <row r="525">
      <c r="A525" s="11"/>
      <c r="B525" s="17"/>
      <c r="D525" s="17"/>
      <c r="I525" s="17"/>
      <c r="J525" s="20"/>
    </row>
    <row r="526">
      <c r="A526" s="11"/>
      <c r="B526" s="17"/>
      <c r="D526" s="17"/>
      <c r="I526" s="17"/>
      <c r="J526" s="20"/>
    </row>
    <row r="527">
      <c r="A527" s="11"/>
      <c r="B527" s="17"/>
      <c r="D527" s="17"/>
      <c r="I527" s="17"/>
      <c r="J527" s="20"/>
    </row>
    <row r="528">
      <c r="A528" s="11"/>
      <c r="B528" s="17"/>
      <c r="D528" s="17"/>
      <c r="I528" s="17"/>
      <c r="J528" s="20"/>
    </row>
    <row r="529">
      <c r="A529" s="11"/>
      <c r="B529" s="17"/>
      <c r="D529" s="17"/>
      <c r="I529" s="17"/>
      <c r="J529" s="20"/>
    </row>
    <row r="530">
      <c r="A530" s="11"/>
      <c r="B530" s="17"/>
      <c r="D530" s="17"/>
      <c r="I530" s="17"/>
      <c r="J530" s="20"/>
    </row>
    <row r="531">
      <c r="A531" s="11"/>
      <c r="B531" s="17"/>
      <c r="D531" s="17"/>
      <c r="I531" s="17"/>
      <c r="J531" s="20"/>
    </row>
    <row r="532">
      <c r="A532" s="11"/>
      <c r="B532" s="17"/>
      <c r="D532" s="17"/>
      <c r="I532" s="17"/>
      <c r="J532" s="20"/>
    </row>
    <row r="533">
      <c r="A533" s="11"/>
      <c r="B533" s="17"/>
      <c r="D533" s="17"/>
      <c r="I533" s="17"/>
      <c r="J533" s="20"/>
    </row>
    <row r="534">
      <c r="A534" s="11"/>
      <c r="B534" s="17"/>
      <c r="D534" s="17"/>
      <c r="I534" s="17"/>
      <c r="J534" s="20"/>
    </row>
    <row r="535">
      <c r="A535" s="11"/>
      <c r="B535" s="17"/>
      <c r="D535" s="17"/>
      <c r="I535" s="17"/>
      <c r="J535" s="20"/>
    </row>
    <row r="536">
      <c r="A536" s="11"/>
      <c r="B536" s="17"/>
      <c r="D536" s="17"/>
      <c r="I536" s="17"/>
      <c r="J536" s="20"/>
    </row>
    <row r="537">
      <c r="A537" s="11"/>
      <c r="B537" s="17"/>
      <c r="D537" s="17"/>
      <c r="I537" s="17"/>
      <c r="J537" s="20"/>
    </row>
    <row r="538">
      <c r="A538" s="11"/>
      <c r="B538" s="17"/>
      <c r="D538" s="17"/>
      <c r="I538" s="17"/>
      <c r="J538" s="20"/>
    </row>
    <row r="539">
      <c r="A539" s="11"/>
      <c r="B539" s="17"/>
      <c r="D539" s="17"/>
      <c r="I539" s="17"/>
      <c r="J539" s="20"/>
    </row>
    <row r="540">
      <c r="A540" s="11"/>
      <c r="B540" s="17"/>
      <c r="D540" s="17"/>
      <c r="I540" s="17"/>
      <c r="J540" s="20"/>
    </row>
    <row r="541">
      <c r="A541" s="11"/>
      <c r="B541" s="17"/>
      <c r="D541" s="17"/>
      <c r="I541" s="17"/>
      <c r="J541" s="20"/>
    </row>
    <row r="542">
      <c r="A542" s="11"/>
      <c r="B542" s="17"/>
      <c r="D542" s="17"/>
      <c r="I542" s="17"/>
      <c r="J542" s="20"/>
    </row>
    <row r="543">
      <c r="A543" s="11"/>
      <c r="B543" s="17"/>
      <c r="D543" s="17"/>
      <c r="I543" s="17"/>
      <c r="J543" s="20"/>
    </row>
    <row r="544">
      <c r="A544" s="11"/>
      <c r="B544" s="17"/>
      <c r="D544" s="17"/>
      <c r="I544" s="17"/>
      <c r="J544" s="20"/>
    </row>
    <row r="545">
      <c r="A545" s="11"/>
      <c r="B545" s="17"/>
      <c r="D545" s="17"/>
      <c r="I545" s="17"/>
      <c r="J545" s="20"/>
    </row>
    <row r="546">
      <c r="A546" s="11"/>
      <c r="B546" s="17"/>
      <c r="D546" s="17"/>
      <c r="I546" s="17"/>
      <c r="J546" s="20"/>
    </row>
    <row r="547">
      <c r="A547" s="11"/>
      <c r="B547" s="17"/>
      <c r="D547" s="17"/>
      <c r="I547" s="17"/>
      <c r="J547" s="20"/>
    </row>
    <row r="548">
      <c r="A548" s="11"/>
      <c r="B548" s="17"/>
      <c r="D548" s="17"/>
      <c r="I548" s="17"/>
      <c r="J548" s="20"/>
    </row>
    <row r="549">
      <c r="A549" s="11"/>
      <c r="B549" s="17"/>
      <c r="D549" s="17"/>
      <c r="I549" s="17"/>
      <c r="J549" s="20"/>
    </row>
    <row r="550">
      <c r="A550" s="11"/>
      <c r="B550" s="17"/>
      <c r="D550" s="17"/>
      <c r="I550" s="17"/>
      <c r="J550" s="20"/>
    </row>
    <row r="551">
      <c r="A551" s="11"/>
      <c r="B551" s="17"/>
      <c r="D551" s="17"/>
      <c r="I551" s="17"/>
      <c r="J551" s="20"/>
    </row>
    <row r="552">
      <c r="A552" s="11"/>
      <c r="B552" s="17"/>
      <c r="D552" s="17"/>
      <c r="I552" s="17"/>
      <c r="J552" s="20"/>
    </row>
    <row r="553">
      <c r="A553" s="11"/>
      <c r="B553" s="17"/>
      <c r="D553" s="17"/>
      <c r="I553" s="17"/>
      <c r="J553" s="20"/>
    </row>
    <row r="554">
      <c r="A554" s="11"/>
      <c r="B554" s="17"/>
      <c r="D554" s="17"/>
      <c r="I554" s="17"/>
      <c r="J554" s="20"/>
    </row>
    <row r="555">
      <c r="A555" s="11"/>
      <c r="B555" s="17"/>
      <c r="D555" s="17"/>
      <c r="I555" s="17"/>
      <c r="J555" s="20"/>
    </row>
    <row r="556">
      <c r="A556" s="11"/>
      <c r="B556" s="17"/>
      <c r="D556" s="17"/>
      <c r="I556" s="17"/>
      <c r="J556" s="20"/>
    </row>
    <row r="557">
      <c r="A557" s="11"/>
      <c r="B557" s="17"/>
      <c r="D557" s="17"/>
      <c r="I557" s="17"/>
      <c r="J557" s="20"/>
    </row>
    <row r="558">
      <c r="A558" s="11"/>
      <c r="B558" s="17"/>
      <c r="D558" s="17"/>
      <c r="I558" s="17"/>
      <c r="J558" s="20"/>
    </row>
    <row r="559">
      <c r="A559" s="11"/>
      <c r="B559" s="17"/>
      <c r="D559" s="17"/>
      <c r="I559" s="17"/>
      <c r="J559" s="20"/>
    </row>
    <row r="560">
      <c r="A560" s="11"/>
      <c r="B560" s="17"/>
      <c r="D560" s="17"/>
      <c r="I560" s="17"/>
      <c r="J560" s="20"/>
    </row>
    <row r="561">
      <c r="A561" s="11"/>
      <c r="B561" s="17"/>
      <c r="D561" s="17"/>
      <c r="I561" s="17"/>
      <c r="J561" s="20"/>
    </row>
    <row r="562">
      <c r="A562" s="11"/>
      <c r="B562" s="17"/>
      <c r="D562" s="17"/>
      <c r="I562" s="17"/>
      <c r="J562" s="20"/>
    </row>
    <row r="563">
      <c r="A563" s="11"/>
      <c r="B563" s="17"/>
      <c r="D563" s="17"/>
      <c r="I563" s="17"/>
      <c r="J563" s="20"/>
    </row>
    <row r="564">
      <c r="A564" s="11"/>
      <c r="B564" s="17"/>
      <c r="D564" s="17"/>
      <c r="I564" s="17"/>
      <c r="J564" s="20"/>
    </row>
    <row r="565">
      <c r="A565" s="11"/>
      <c r="B565" s="17"/>
      <c r="D565" s="17"/>
      <c r="I565" s="17"/>
      <c r="J565" s="20"/>
    </row>
    <row r="566">
      <c r="A566" s="11"/>
      <c r="B566" s="17"/>
      <c r="D566" s="17"/>
      <c r="I566" s="17"/>
      <c r="J566" s="20"/>
    </row>
    <row r="567">
      <c r="A567" s="11"/>
      <c r="B567" s="17"/>
      <c r="D567" s="17"/>
      <c r="I567" s="17"/>
      <c r="J567" s="20"/>
    </row>
    <row r="568">
      <c r="A568" s="11"/>
      <c r="B568" s="17"/>
      <c r="D568" s="17"/>
      <c r="I568" s="17"/>
      <c r="J568" s="20"/>
    </row>
    <row r="569">
      <c r="A569" s="11"/>
      <c r="B569" s="17"/>
      <c r="D569" s="17"/>
      <c r="I569" s="17"/>
      <c r="J569" s="20"/>
    </row>
    <row r="570">
      <c r="A570" s="11"/>
      <c r="B570" s="17"/>
      <c r="D570" s="17"/>
      <c r="I570" s="17"/>
      <c r="J570" s="20"/>
    </row>
    <row r="571">
      <c r="A571" s="11"/>
      <c r="B571" s="17"/>
      <c r="D571" s="17"/>
      <c r="I571" s="17"/>
      <c r="J571" s="20"/>
    </row>
    <row r="572">
      <c r="A572" s="11"/>
      <c r="B572" s="17"/>
      <c r="D572" s="17"/>
      <c r="I572" s="17"/>
      <c r="J572" s="20"/>
    </row>
    <row r="573">
      <c r="A573" s="11"/>
      <c r="B573" s="17"/>
      <c r="D573" s="17"/>
      <c r="I573" s="17"/>
      <c r="J573" s="20"/>
    </row>
    <row r="574">
      <c r="A574" s="11"/>
      <c r="B574" s="17"/>
      <c r="D574" s="17"/>
      <c r="I574" s="17"/>
      <c r="J574" s="20"/>
    </row>
    <row r="575">
      <c r="A575" s="11"/>
      <c r="B575" s="17"/>
      <c r="D575" s="17"/>
      <c r="I575" s="17"/>
      <c r="J575" s="20"/>
    </row>
    <row r="576">
      <c r="A576" s="11"/>
      <c r="B576" s="17"/>
      <c r="D576" s="17"/>
      <c r="I576" s="17"/>
      <c r="J576" s="20"/>
    </row>
    <row r="577">
      <c r="A577" s="11"/>
      <c r="B577" s="17"/>
      <c r="D577" s="17"/>
      <c r="I577" s="17"/>
      <c r="J577" s="20"/>
    </row>
    <row r="578">
      <c r="A578" s="11"/>
      <c r="B578" s="17"/>
      <c r="D578" s="17"/>
      <c r="I578" s="17"/>
      <c r="J578" s="20"/>
    </row>
    <row r="579">
      <c r="A579" s="11"/>
      <c r="B579" s="17"/>
      <c r="D579" s="17"/>
      <c r="I579" s="17"/>
      <c r="J579" s="20"/>
    </row>
    <row r="580">
      <c r="A580" s="11"/>
      <c r="B580" s="17"/>
      <c r="D580" s="17"/>
      <c r="I580" s="17"/>
      <c r="J580" s="20"/>
    </row>
    <row r="581">
      <c r="A581" s="11"/>
      <c r="B581" s="17"/>
      <c r="D581" s="17"/>
      <c r="I581" s="17"/>
      <c r="J581" s="20"/>
    </row>
    <row r="582">
      <c r="A582" s="11"/>
      <c r="B582" s="17"/>
      <c r="D582" s="17"/>
      <c r="I582" s="17"/>
      <c r="J582" s="20"/>
    </row>
    <row r="583">
      <c r="A583" s="11"/>
      <c r="B583" s="17"/>
      <c r="D583" s="17"/>
      <c r="I583" s="17"/>
      <c r="J583" s="20"/>
    </row>
    <row r="584">
      <c r="A584" s="11"/>
      <c r="B584" s="17"/>
      <c r="D584" s="17"/>
      <c r="I584" s="17"/>
      <c r="J584" s="20"/>
    </row>
    <row r="585">
      <c r="A585" s="11"/>
      <c r="B585" s="17"/>
      <c r="D585" s="17"/>
      <c r="I585" s="17"/>
      <c r="J585" s="20"/>
    </row>
    <row r="586">
      <c r="A586" s="11"/>
      <c r="B586" s="17"/>
      <c r="D586" s="17"/>
      <c r="I586" s="17"/>
      <c r="J586" s="20"/>
    </row>
    <row r="587">
      <c r="A587" s="11"/>
      <c r="B587" s="17"/>
      <c r="D587" s="17"/>
      <c r="I587" s="17"/>
      <c r="J587" s="20"/>
    </row>
    <row r="588">
      <c r="A588" s="11"/>
      <c r="B588" s="17"/>
      <c r="D588" s="17"/>
      <c r="I588" s="17"/>
      <c r="J588" s="20"/>
    </row>
    <row r="589">
      <c r="A589" s="11"/>
      <c r="B589" s="17"/>
      <c r="D589" s="17"/>
      <c r="I589" s="17"/>
      <c r="J589" s="20"/>
    </row>
    <row r="590">
      <c r="A590" s="11"/>
      <c r="B590" s="17"/>
      <c r="D590" s="17"/>
      <c r="I590" s="17"/>
      <c r="J590" s="20"/>
    </row>
    <row r="591">
      <c r="A591" s="11"/>
      <c r="B591" s="17"/>
      <c r="D591" s="17"/>
      <c r="I591" s="17"/>
      <c r="J591" s="20"/>
    </row>
    <row r="592">
      <c r="A592" s="11"/>
      <c r="B592" s="17"/>
      <c r="D592" s="17"/>
      <c r="I592" s="17"/>
      <c r="J592" s="20"/>
    </row>
    <row r="593">
      <c r="A593" s="11"/>
      <c r="B593" s="17"/>
      <c r="D593" s="17"/>
      <c r="I593" s="17"/>
      <c r="J593" s="20"/>
    </row>
    <row r="594">
      <c r="A594" s="11"/>
      <c r="B594" s="17"/>
      <c r="D594" s="17"/>
      <c r="I594" s="17"/>
      <c r="J594" s="20"/>
    </row>
    <row r="595">
      <c r="A595" s="11"/>
      <c r="B595" s="17"/>
      <c r="D595" s="17"/>
      <c r="I595" s="17"/>
      <c r="J595" s="20"/>
    </row>
    <row r="596">
      <c r="A596" s="11"/>
      <c r="B596" s="17"/>
      <c r="D596" s="17"/>
      <c r="I596" s="17"/>
      <c r="J596" s="20"/>
    </row>
    <row r="597">
      <c r="A597" s="11"/>
      <c r="B597" s="17"/>
      <c r="D597" s="17"/>
      <c r="I597" s="17"/>
      <c r="J597" s="20"/>
    </row>
    <row r="598">
      <c r="A598" s="11"/>
      <c r="B598" s="17"/>
      <c r="D598" s="17"/>
      <c r="I598" s="17"/>
      <c r="J598" s="20"/>
    </row>
    <row r="599">
      <c r="A599" s="11"/>
      <c r="B599" s="17"/>
      <c r="D599" s="17"/>
      <c r="I599" s="17"/>
      <c r="J599" s="20"/>
    </row>
    <row r="600">
      <c r="A600" s="11"/>
      <c r="B600" s="17"/>
      <c r="D600" s="17"/>
      <c r="I600" s="17"/>
      <c r="J600" s="20"/>
    </row>
    <row r="601">
      <c r="A601" s="11"/>
      <c r="B601" s="17"/>
      <c r="D601" s="17"/>
      <c r="I601" s="17"/>
      <c r="J601" s="20"/>
    </row>
    <row r="602">
      <c r="A602" s="11"/>
      <c r="B602" s="17"/>
      <c r="D602" s="17"/>
      <c r="I602" s="17"/>
      <c r="J602" s="20"/>
    </row>
    <row r="603">
      <c r="A603" s="11"/>
      <c r="B603" s="17"/>
      <c r="D603" s="17"/>
      <c r="I603" s="17"/>
      <c r="J603" s="20"/>
    </row>
    <row r="604">
      <c r="A604" s="11"/>
      <c r="B604" s="17"/>
      <c r="D604" s="17"/>
      <c r="I604" s="17"/>
      <c r="J604" s="20"/>
    </row>
    <row r="605">
      <c r="A605" s="11"/>
      <c r="B605" s="17"/>
      <c r="D605" s="17"/>
      <c r="I605" s="17"/>
      <c r="J605" s="20"/>
    </row>
    <row r="606">
      <c r="A606" s="11"/>
      <c r="B606" s="17"/>
      <c r="D606" s="17"/>
      <c r="I606" s="17"/>
      <c r="J606" s="20"/>
    </row>
    <row r="607">
      <c r="A607" s="11"/>
      <c r="B607" s="17"/>
      <c r="D607" s="17"/>
      <c r="I607" s="17"/>
      <c r="J607" s="20"/>
    </row>
    <row r="608">
      <c r="A608" s="11"/>
      <c r="B608" s="17"/>
      <c r="D608" s="17"/>
      <c r="I608" s="17"/>
      <c r="J608" s="20"/>
    </row>
    <row r="609">
      <c r="A609" s="11"/>
      <c r="B609" s="17"/>
      <c r="D609" s="17"/>
      <c r="I609" s="17"/>
      <c r="J609" s="20"/>
    </row>
    <row r="610">
      <c r="A610" s="11"/>
      <c r="B610" s="17"/>
      <c r="D610" s="17"/>
      <c r="I610" s="17"/>
      <c r="J610" s="20"/>
    </row>
    <row r="611">
      <c r="A611" s="11"/>
      <c r="B611" s="17"/>
      <c r="D611" s="17"/>
      <c r="I611" s="17"/>
      <c r="J611" s="20"/>
    </row>
    <row r="612">
      <c r="A612" s="11"/>
      <c r="B612" s="17"/>
      <c r="D612" s="17"/>
      <c r="I612" s="17"/>
      <c r="J612" s="20"/>
    </row>
    <row r="613">
      <c r="A613" s="11"/>
      <c r="B613" s="17"/>
      <c r="D613" s="17"/>
      <c r="I613" s="17"/>
      <c r="J613" s="20"/>
    </row>
    <row r="614">
      <c r="A614" s="11"/>
      <c r="B614" s="17"/>
      <c r="D614" s="17"/>
      <c r="I614" s="17"/>
      <c r="J614" s="20"/>
    </row>
    <row r="615">
      <c r="A615" s="11"/>
      <c r="B615" s="17"/>
      <c r="D615" s="17"/>
      <c r="I615" s="17"/>
      <c r="J615" s="20"/>
    </row>
    <row r="616">
      <c r="A616" s="11"/>
      <c r="B616" s="17"/>
      <c r="D616" s="17"/>
      <c r="I616" s="17"/>
      <c r="J616" s="20"/>
    </row>
    <row r="617">
      <c r="A617" s="11"/>
      <c r="B617" s="17"/>
      <c r="D617" s="17"/>
      <c r="I617" s="17"/>
      <c r="J617" s="20"/>
    </row>
    <row r="618">
      <c r="A618" s="11"/>
      <c r="B618" s="17"/>
      <c r="D618" s="17"/>
      <c r="I618" s="17"/>
      <c r="J618" s="20"/>
    </row>
    <row r="619">
      <c r="A619" s="11"/>
      <c r="B619" s="17"/>
      <c r="D619" s="17"/>
      <c r="I619" s="17"/>
      <c r="J619" s="20"/>
    </row>
    <row r="620">
      <c r="A620" s="11"/>
      <c r="B620" s="17"/>
      <c r="D620" s="17"/>
      <c r="I620" s="17"/>
      <c r="J620" s="20"/>
    </row>
    <row r="621">
      <c r="A621" s="11"/>
      <c r="B621" s="17"/>
      <c r="D621" s="17"/>
      <c r="I621" s="17"/>
      <c r="J621" s="20"/>
    </row>
    <row r="622">
      <c r="A622" s="11"/>
      <c r="B622" s="17"/>
      <c r="D622" s="17"/>
      <c r="I622" s="17"/>
      <c r="J622" s="20"/>
    </row>
    <row r="623">
      <c r="A623" s="11"/>
      <c r="B623" s="17"/>
      <c r="D623" s="17"/>
      <c r="I623" s="17"/>
      <c r="J623" s="20"/>
    </row>
    <row r="624">
      <c r="A624" s="11"/>
      <c r="B624" s="17"/>
      <c r="D624" s="17"/>
      <c r="I624" s="17"/>
      <c r="J624" s="20"/>
    </row>
    <row r="625">
      <c r="A625" s="11"/>
      <c r="B625" s="17"/>
      <c r="D625" s="17"/>
      <c r="I625" s="17"/>
      <c r="J625" s="20"/>
    </row>
    <row r="626">
      <c r="A626" s="11"/>
      <c r="B626" s="17"/>
      <c r="D626" s="17"/>
      <c r="I626" s="17"/>
      <c r="J626" s="20"/>
    </row>
    <row r="627">
      <c r="A627" s="11"/>
      <c r="B627" s="17"/>
      <c r="D627" s="17"/>
      <c r="I627" s="17"/>
      <c r="J627" s="20"/>
    </row>
    <row r="628">
      <c r="A628" s="11"/>
      <c r="B628" s="17"/>
      <c r="D628" s="17"/>
      <c r="I628" s="17"/>
      <c r="J628" s="20"/>
    </row>
    <row r="629">
      <c r="A629" s="11"/>
      <c r="B629" s="17"/>
      <c r="D629" s="17"/>
      <c r="I629" s="17"/>
      <c r="J629" s="20"/>
    </row>
    <row r="630">
      <c r="A630" s="11"/>
      <c r="B630" s="17"/>
      <c r="D630" s="17"/>
      <c r="I630" s="17"/>
      <c r="J630" s="20"/>
    </row>
    <row r="631">
      <c r="A631" s="11"/>
      <c r="B631" s="17"/>
      <c r="D631" s="17"/>
      <c r="I631" s="17"/>
      <c r="J631" s="20"/>
    </row>
    <row r="632">
      <c r="A632" s="11"/>
      <c r="B632" s="17"/>
      <c r="D632" s="17"/>
      <c r="I632" s="17"/>
      <c r="J632" s="20"/>
    </row>
    <row r="633">
      <c r="A633" s="11"/>
      <c r="B633" s="17"/>
      <c r="D633" s="17"/>
      <c r="I633" s="17"/>
      <c r="J633" s="20"/>
    </row>
    <row r="634">
      <c r="A634" s="11"/>
      <c r="B634" s="17"/>
      <c r="D634" s="17"/>
      <c r="I634" s="17"/>
      <c r="J634" s="20"/>
    </row>
    <row r="635">
      <c r="A635" s="11"/>
      <c r="B635" s="17"/>
      <c r="D635" s="17"/>
      <c r="I635" s="17"/>
      <c r="J635" s="20"/>
    </row>
    <row r="636">
      <c r="A636" s="11"/>
      <c r="B636" s="17"/>
      <c r="D636" s="17"/>
      <c r="I636" s="17"/>
      <c r="J636" s="20"/>
    </row>
    <row r="637">
      <c r="A637" s="11"/>
      <c r="B637" s="17"/>
      <c r="D637" s="17"/>
      <c r="I637" s="17"/>
      <c r="J637" s="20"/>
    </row>
    <row r="638">
      <c r="A638" s="11"/>
      <c r="B638" s="17"/>
      <c r="D638" s="17"/>
      <c r="I638" s="17"/>
      <c r="J638" s="20"/>
    </row>
    <row r="639">
      <c r="A639" s="11"/>
      <c r="B639" s="17"/>
      <c r="D639" s="17"/>
      <c r="I639" s="17"/>
      <c r="J639" s="20"/>
    </row>
    <row r="640">
      <c r="A640" s="11"/>
      <c r="B640" s="17"/>
      <c r="D640" s="17"/>
      <c r="I640" s="17"/>
      <c r="J640" s="20"/>
    </row>
    <row r="641">
      <c r="A641" s="11"/>
      <c r="B641" s="17"/>
      <c r="D641" s="17"/>
      <c r="I641" s="17"/>
      <c r="J641" s="20"/>
    </row>
    <row r="642">
      <c r="A642" s="11"/>
      <c r="B642" s="17"/>
      <c r="D642" s="17"/>
      <c r="I642" s="17"/>
      <c r="J642" s="20"/>
    </row>
    <row r="643">
      <c r="A643" s="11"/>
      <c r="B643" s="17"/>
      <c r="D643" s="17"/>
      <c r="I643" s="17"/>
      <c r="J643" s="20"/>
    </row>
    <row r="644">
      <c r="A644" s="11"/>
      <c r="B644" s="17"/>
      <c r="D644" s="17"/>
      <c r="I644" s="17"/>
      <c r="J644" s="20"/>
    </row>
    <row r="645">
      <c r="A645" s="11"/>
      <c r="B645" s="17"/>
      <c r="D645" s="17"/>
      <c r="I645" s="17"/>
      <c r="J645" s="20"/>
    </row>
    <row r="646">
      <c r="A646" s="11"/>
      <c r="B646" s="17"/>
      <c r="D646" s="17"/>
      <c r="I646" s="17"/>
      <c r="J646" s="20"/>
    </row>
    <row r="647">
      <c r="A647" s="11"/>
      <c r="B647" s="17"/>
      <c r="D647" s="17"/>
      <c r="I647" s="17"/>
      <c r="J647" s="20"/>
    </row>
    <row r="648">
      <c r="A648" s="11"/>
      <c r="B648" s="17"/>
      <c r="D648" s="17"/>
      <c r="I648" s="17"/>
      <c r="J648" s="20"/>
    </row>
    <row r="649">
      <c r="A649" s="11"/>
      <c r="B649" s="17"/>
      <c r="D649" s="17"/>
      <c r="I649" s="17"/>
      <c r="J649" s="20"/>
    </row>
    <row r="650">
      <c r="A650" s="11"/>
      <c r="B650" s="17"/>
      <c r="D650" s="17"/>
      <c r="I650" s="17"/>
      <c r="J650" s="20"/>
    </row>
    <row r="651">
      <c r="A651" s="11"/>
      <c r="B651" s="17"/>
      <c r="D651" s="17"/>
      <c r="I651" s="17"/>
      <c r="J651" s="20"/>
    </row>
    <row r="652">
      <c r="A652" s="11"/>
      <c r="B652" s="17"/>
      <c r="D652" s="17"/>
      <c r="I652" s="17"/>
      <c r="J652" s="20"/>
    </row>
    <row r="653">
      <c r="A653" s="11"/>
      <c r="B653" s="17"/>
      <c r="D653" s="17"/>
      <c r="I653" s="17"/>
      <c r="J653" s="20"/>
    </row>
    <row r="654">
      <c r="A654" s="11"/>
      <c r="B654" s="17"/>
      <c r="D654" s="17"/>
      <c r="I654" s="17"/>
      <c r="J654" s="20"/>
    </row>
    <row r="655">
      <c r="A655" s="11"/>
      <c r="B655" s="17"/>
      <c r="D655" s="17"/>
      <c r="I655" s="17"/>
      <c r="J655" s="20"/>
    </row>
    <row r="656">
      <c r="A656" s="11"/>
      <c r="B656" s="17"/>
      <c r="D656" s="17"/>
      <c r="I656" s="17"/>
      <c r="J656" s="20"/>
    </row>
    <row r="657">
      <c r="A657" s="11"/>
      <c r="B657" s="17"/>
      <c r="D657" s="17"/>
      <c r="I657" s="17"/>
      <c r="J657" s="20"/>
    </row>
    <row r="658">
      <c r="A658" s="11"/>
      <c r="B658" s="17"/>
      <c r="D658" s="17"/>
      <c r="I658" s="17"/>
      <c r="J658" s="20"/>
    </row>
    <row r="659">
      <c r="A659" s="11"/>
      <c r="B659" s="17"/>
      <c r="D659" s="17"/>
      <c r="I659" s="17"/>
      <c r="J659" s="20"/>
    </row>
    <row r="660">
      <c r="A660" s="11"/>
      <c r="B660" s="17"/>
      <c r="D660" s="17"/>
      <c r="I660" s="17"/>
      <c r="J660" s="20"/>
    </row>
    <row r="661">
      <c r="A661" s="11"/>
      <c r="B661" s="17"/>
      <c r="D661" s="17"/>
      <c r="I661" s="17"/>
      <c r="J661" s="20"/>
    </row>
    <row r="662">
      <c r="A662" s="11"/>
      <c r="B662" s="17"/>
      <c r="D662" s="17"/>
      <c r="I662" s="17"/>
      <c r="J662" s="20"/>
    </row>
    <row r="663">
      <c r="A663" s="11"/>
      <c r="B663" s="17"/>
      <c r="D663" s="17"/>
      <c r="I663" s="17"/>
      <c r="J663" s="20"/>
    </row>
    <row r="664">
      <c r="A664" s="11"/>
      <c r="B664" s="17"/>
      <c r="D664" s="17"/>
      <c r="I664" s="17"/>
      <c r="J664" s="20"/>
    </row>
    <row r="665">
      <c r="A665" s="11"/>
      <c r="B665" s="17"/>
      <c r="D665" s="17"/>
      <c r="I665" s="17"/>
      <c r="J665" s="20"/>
    </row>
    <row r="666">
      <c r="A666" s="11"/>
      <c r="B666" s="17"/>
      <c r="D666" s="17"/>
      <c r="I666" s="17"/>
      <c r="J666" s="20"/>
    </row>
    <row r="667">
      <c r="A667" s="11"/>
      <c r="B667" s="17"/>
      <c r="D667" s="17"/>
      <c r="I667" s="17"/>
      <c r="J667" s="20"/>
    </row>
    <row r="668">
      <c r="A668" s="11"/>
      <c r="B668" s="17"/>
      <c r="D668" s="17"/>
      <c r="I668" s="17"/>
      <c r="J668" s="20"/>
    </row>
    <row r="669">
      <c r="A669" s="11"/>
      <c r="B669" s="17"/>
      <c r="D669" s="17"/>
      <c r="I669" s="17"/>
      <c r="J669" s="20"/>
    </row>
    <row r="670">
      <c r="A670" s="11"/>
      <c r="B670" s="17"/>
      <c r="D670" s="17"/>
      <c r="I670" s="17"/>
      <c r="J670" s="20"/>
    </row>
    <row r="671">
      <c r="A671" s="11"/>
      <c r="B671" s="17"/>
      <c r="D671" s="17"/>
      <c r="I671" s="17"/>
      <c r="J671" s="20"/>
    </row>
    <row r="672">
      <c r="A672" s="11"/>
      <c r="B672" s="17"/>
      <c r="D672" s="17"/>
      <c r="I672" s="17"/>
      <c r="J672" s="20"/>
    </row>
    <row r="673">
      <c r="A673" s="11"/>
      <c r="B673" s="17"/>
      <c r="D673" s="17"/>
      <c r="I673" s="17"/>
      <c r="J673" s="20"/>
    </row>
    <row r="674">
      <c r="A674" s="11"/>
      <c r="B674" s="17"/>
      <c r="D674" s="17"/>
      <c r="I674" s="17"/>
      <c r="J674" s="20"/>
    </row>
    <row r="675">
      <c r="A675" s="11"/>
      <c r="B675" s="17"/>
      <c r="D675" s="17"/>
      <c r="I675" s="17"/>
      <c r="J675" s="20"/>
    </row>
    <row r="676">
      <c r="A676" s="11"/>
      <c r="B676" s="17"/>
      <c r="D676" s="17"/>
      <c r="I676" s="17"/>
      <c r="J676" s="20"/>
    </row>
    <row r="677">
      <c r="A677" s="11"/>
      <c r="B677" s="17"/>
      <c r="D677" s="17"/>
      <c r="I677" s="17"/>
      <c r="J677" s="20"/>
    </row>
    <row r="678">
      <c r="A678" s="11"/>
      <c r="B678" s="17"/>
      <c r="D678" s="17"/>
      <c r="I678" s="17"/>
      <c r="J678" s="20"/>
    </row>
    <row r="679">
      <c r="A679" s="11"/>
      <c r="B679" s="17"/>
      <c r="D679" s="17"/>
      <c r="I679" s="17"/>
      <c r="J679" s="20"/>
    </row>
    <row r="680">
      <c r="A680" s="11"/>
      <c r="B680" s="17"/>
      <c r="D680" s="17"/>
      <c r="I680" s="17"/>
      <c r="J680" s="20"/>
    </row>
    <row r="681">
      <c r="A681" s="11"/>
      <c r="B681" s="17"/>
      <c r="D681" s="17"/>
      <c r="I681" s="17"/>
      <c r="J681" s="20"/>
    </row>
    <row r="682">
      <c r="A682" s="11"/>
      <c r="B682" s="17"/>
      <c r="D682" s="17"/>
      <c r="I682" s="17"/>
      <c r="J682" s="20"/>
    </row>
    <row r="683">
      <c r="A683" s="11"/>
      <c r="B683" s="17"/>
      <c r="D683" s="17"/>
      <c r="I683" s="17"/>
      <c r="J683" s="20"/>
    </row>
    <row r="684">
      <c r="A684" s="11"/>
      <c r="B684" s="17"/>
      <c r="D684" s="17"/>
      <c r="I684" s="17"/>
      <c r="J684" s="20"/>
    </row>
    <row r="685">
      <c r="A685" s="11"/>
      <c r="B685" s="17"/>
      <c r="D685" s="17"/>
      <c r="I685" s="17"/>
      <c r="J685" s="20"/>
    </row>
    <row r="686">
      <c r="A686" s="11"/>
      <c r="B686" s="17"/>
      <c r="D686" s="17"/>
      <c r="I686" s="17"/>
      <c r="J686" s="20"/>
    </row>
    <row r="687">
      <c r="A687" s="11"/>
      <c r="B687" s="17"/>
      <c r="D687" s="17"/>
      <c r="I687" s="17"/>
      <c r="J687" s="20"/>
    </row>
    <row r="688">
      <c r="A688" s="11"/>
      <c r="B688" s="17"/>
      <c r="D688" s="17"/>
      <c r="I688" s="17"/>
      <c r="J688" s="20"/>
    </row>
    <row r="689">
      <c r="A689" s="11"/>
      <c r="B689" s="17"/>
      <c r="D689" s="17"/>
      <c r="I689" s="17"/>
      <c r="J689" s="20"/>
    </row>
    <row r="690">
      <c r="A690" s="11"/>
      <c r="B690" s="17"/>
      <c r="D690" s="17"/>
      <c r="I690" s="17"/>
      <c r="J690" s="20"/>
    </row>
    <row r="691">
      <c r="A691" s="11"/>
      <c r="B691" s="17"/>
      <c r="D691" s="17"/>
      <c r="I691" s="17"/>
      <c r="J691" s="20"/>
    </row>
    <row r="692">
      <c r="A692" s="11"/>
      <c r="B692" s="17"/>
      <c r="D692" s="17"/>
      <c r="I692" s="17"/>
      <c r="J692" s="20"/>
    </row>
    <row r="693">
      <c r="A693" s="11"/>
      <c r="B693" s="17"/>
      <c r="D693" s="17"/>
      <c r="I693" s="17"/>
      <c r="J693" s="20"/>
    </row>
    <row r="694">
      <c r="A694" s="11"/>
      <c r="B694" s="17"/>
      <c r="D694" s="17"/>
      <c r="I694" s="17"/>
      <c r="J694" s="20"/>
    </row>
    <row r="695">
      <c r="A695" s="11"/>
      <c r="B695" s="17"/>
      <c r="D695" s="17"/>
      <c r="I695" s="17"/>
      <c r="J695" s="20"/>
    </row>
    <row r="696">
      <c r="A696" s="11"/>
      <c r="B696" s="17"/>
      <c r="D696" s="17"/>
      <c r="I696" s="17"/>
      <c r="J696" s="20"/>
    </row>
    <row r="697">
      <c r="A697" s="11"/>
      <c r="B697" s="17"/>
      <c r="D697" s="17"/>
      <c r="I697" s="17"/>
      <c r="J697" s="20"/>
    </row>
    <row r="698">
      <c r="A698" s="11"/>
      <c r="B698" s="17"/>
      <c r="D698" s="17"/>
      <c r="I698" s="17"/>
      <c r="J698" s="20"/>
    </row>
    <row r="699">
      <c r="A699" s="11"/>
      <c r="B699" s="17"/>
      <c r="D699" s="17"/>
      <c r="I699" s="17"/>
      <c r="J699" s="20"/>
    </row>
    <row r="700">
      <c r="A700" s="11"/>
      <c r="B700" s="17"/>
      <c r="D700" s="17"/>
      <c r="I700" s="17"/>
      <c r="J700" s="20"/>
    </row>
    <row r="701">
      <c r="A701" s="11"/>
      <c r="B701" s="17"/>
      <c r="D701" s="17"/>
      <c r="I701" s="17"/>
      <c r="J701" s="20"/>
    </row>
    <row r="702">
      <c r="A702" s="11"/>
      <c r="B702" s="17"/>
      <c r="D702" s="17"/>
      <c r="I702" s="17"/>
      <c r="J702" s="20"/>
    </row>
    <row r="703">
      <c r="A703" s="11"/>
      <c r="B703" s="17"/>
      <c r="D703" s="17"/>
      <c r="I703" s="17"/>
      <c r="J703" s="20"/>
    </row>
    <row r="704">
      <c r="A704" s="11"/>
      <c r="B704" s="17"/>
      <c r="D704" s="17"/>
      <c r="I704" s="17"/>
      <c r="J704" s="20"/>
    </row>
    <row r="705">
      <c r="A705" s="11"/>
      <c r="B705" s="17"/>
      <c r="D705" s="17"/>
      <c r="I705" s="17"/>
      <c r="J705" s="20"/>
    </row>
    <row r="706">
      <c r="A706" s="11"/>
      <c r="B706" s="17"/>
      <c r="D706" s="17"/>
      <c r="I706" s="17"/>
      <c r="J706" s="20"/>
    </row>
    <row r="707">
      <c r="A707" s="11"/>
      <c r="B707" s="17"/>
      <c r="D707" s="17"/>
      <c r="I707" s="17"/>
      <c r="J707" s="20"/>
    </row>
    <row r="708">
      <c r="A708" s="11"/>
      <c r="B708" s="17"/>
      <c r="D708" s="17"/>
      <c r="I708" s="17"/>
      <c r="J708" s="20"/>
    </row>
    <row r="709">
      <c r="A709" s="11"/>
      <c r="B709" s="17"/>
      <c r="D709" s="17"/>
      <c r="I709" s="17"/>
      <c r="J709" s="20"/>
    </row>
    <row r="710">
      <c r="A710" s="11"/>
      <c r="B710" s="17"/>
      <c r="D710" s="17"/>
      <c r="I710" s="17"/>
      <c r="J710" s="20"/>
    </row>
    <row r="711">
      <c r="A711" s="11"/>
      <c r="B711" s="17"/>
      <c r="D711" s="17"/>
      <c r="I711" s="17"/>
      <c r="J711" s="20"/>
    </row>
    <row r="712">
      <c r="A712" s="11"/>
      <c r="B712" s="17"/>
      <c r="D712" s="17"/>
      <c r="I712" s="17"/>
      <c r="J712" s="20"/>
    </row>
    <row r="713">
      <c r="A713" s="11"/>
      <c r="B713" s="17"/>
      <c r="D713" s="17"/>
      <c r="I713" s="17"/>
      <c r="J713" s="20"/>
    </row>
    <row r="714">
      <c r="A714" s="11"/>
      <c r="B714" s="17"/>
      <c r="D714" s="17"/>
      <c r="I714" s="17"/>
      <c r="J714" s="20"/>
    </row>
    <row r="715">
      <c r="A715" s="11"/>
      <c r="B715" s="17"/>
      <c r="D715" s="17"/>
      <c r="I715" s="17"/>
      <c r="J715" s="20"/>
    </row>
    <row r="716">
      <c r="A716" s="11"/>
      <c r="B716" s="17"/>
      <c r="D716" s="17"/>
      <c r="I716" s="17"/>
      <c r="J716" s="20"/>
    </row>
    <row r="717">
      <c r="A717" s="11"/>
      <c r="B717" s="17"/>
      <c r="D717" s="17"/>
      <c r="I717" s="17"/>
      <c r="J717" s="20"/>
    </row>
    <row r="718">
      <c r="A718" s="11"/>
      <c r="B718" s="17"/>
      <c r="D718" s="17"/>
      <c r="I718" s="17"/>
      <c r="J718" s="20"/>
    </row>
    <row r="719">
      <c r="A719" s="11"/>
      <c r="B719" s="17"/>
      <c r="D719" s="17"/>
      <c r="I719" s="17"/>
      <c r="J719" s="20"/>
    </row>
    <row r="720">
      <c r="A720" s="11"/>
      <c r="B720" s="17"/>
      <c r="D720" s="17"/>
      <c r="I720" s="17"/>
      <c r="J720" s="20"/>
    </row>
    <row r="721">
      <c r="A721" s="11"/>
      <c r="B721" s="17"/>
      <c r="D721" s="17"/>
      <c r="I721" s="17"/>
      <c r="J721" s="20"/>
    </row>
    <row r="722">
      <c r="A722" s="11"/>
      <c r="B722" s="17"/>
      <c r="D722" s="17"/>
      <c r="I722" s="17"/>
      <c r="J722" s="20"/>
    </row>
    <row r="723">
      <c r="A723" s="11"/>
      <c r="B723" s="17"/>
      <c r="D723" s="17"/>
      <c r="I723" s="17"/>
      <c r="J723" s="20"/>
    </row>
    <row r="724">
      <c r="A724" s="11"/>
      <c r="B724" s="17"/>
      <c r="D724" s="17"/>
      <c r="I724" s="17"/>
      <c r="J724" s="20"/>
    </row>
    <row r="725">
      <c r="A725" s="11"/>
      <c r="B725" s="17"/>
      <c r="D725" s="17"/>
      <c r="I725" s="17"/>
      <c r="J725" s="20"/>
    </row>
    <row r="726">
      <c r="A726" s="11"/>
      <c r="B726" s="17"/>
      <c r="D726" s="17"/>
      <c r="I726" s="17"/>
      <c r="J726" s="20"/>
    </row>
    <row r="727">
      <c r="A727" s="11"/>
      <c r="B727" s="17"/>
      <c r="D727" s="17"/>
      <c r="I727" s="17"/>
      <c r="J727" s="20"/>
    </row>
    <row r="728">
      <c r="A728" s="11"/>
      <c r="B728" s="17"/>
      <c r="D728" s="17"/>
      <c r="I728" s="17"/>
      <c r="J728" s="20"/>
    </row>
    <row r="729">
      <c r="A729" s="11"/>
      <c r="B729" s="17"/>
      <c r="D729" s="17"/>
      <c r="I729" s="17"/>
      <c r="J729" s="20"/>
    </row>
    <row r="730">
      <c r="A730" s="11"/>
      <c r="B730" s="17"/>
      <c r="D730" s="17"/>
      <c r="I730" s="17"/>
      <c r="J730" s="20"/>
    </row>
    <row r="731">
      <c r="A731" s="11"/>
      <c r="B731" s="17"/>
      <c r="D731" s="17"/>
      <c r="I731" s="17"/>
      <c r="J731" s="20"/>
    </row>
    <row r="732">
      <c r="A732" s="11"/>
      <c r="B732" s="17"/>
      <c r="D732" s="17"/>
      <c r="I732" s="17"/>
      <c r="J732" s="20"/>
    </row>
    <row r="733">
      <c r="A733" s="11"/>
      <c r="B733" s="17"/>
      <c r="D733" s="17"/>
      <c r="I733" s="17"/>
      <c r="J733" s="20"/>
    </row>
    <row r="734">
      <c r="A734" s="11"/>
      <c r="B734" s="17"/>
      <c r="D734" s="17"/>
      <c r="I734" s="17"/>
      <c r="J734" s="20"/>
    </row>
    <row r="735">
      <c r="A735" s="11"/>
      <c r="B735" s="17"/>
      <c r="D735" s="17"/>
      <c r="I735" s="17"/>
      <c r="J735" s="20"/>
    </row>
    <row r="736">
      <c r="A736" s="11"/>
      <c r="B736" s="17"/>
      <c r="D736" s="17"/>
      <c r="I736" s="17"/>
      <c r="J736" s="20"/>
    </row>
    <row r="737">
      <c r="A737" s="11"/>
      <c r="B737" s="17"/>
      <c r="D737" s="17"/>
      <c r="I737" s="17"/>
      <c r="J737" s="20"/>
    </row>
    <row r="738">
      <c r="A738" s="11"/>
      <c r="B738" s="17"/>
      <c r="D738" s="17"/>
      <c r="I738" s="17"/>
      <c r="J738" s="20"/>
    </row>
    <row r="739">
      <c r="A739" s="11"/>
      <c r="B739" s="17"/>
      <c r="D739" s="17"/>
      <c r="I739" s="17"/>
      <c r="J739" s="20"/>
    </row>
    <row r="740">
      <c r="A740" s="11"/>
      <c r="B740" s="17"/>
      <c r="D740" s="17"/>
      <c r="I740" s="17"/>
      <c r="J740" s="20"/>
    </row>
    <row r="741">
      <c r="A741" s="11"/>
      <c r="B741" s="17"/>
      <c r="D741" s="17"/>
      <c r="I741" s="17"/>
      <c r="J741" s="20"/>
    </row>
    <row r="742">
      <c r="A742" s="11"/>
      <c r="B742" s="17"/>
      <c r="D742" s="17"/>
      <c r="I742" s="17"/>
      <c r="J742" s="20"/>
    </row>
    <row r="743">
      <c r="A743" s="11"/>
      <c r="B743" s="17"/>
      <c r="D743" s="17"/>
      <c r="I743" s="17"/>
      <c r="J743" s="20"/>
    </row>
    <row r="744">
      <c r="A744" s="11"/>
      <c r="B744" s="17"/>
      <c r="D744" s="17"/>
      <c r="I744" s="17"/>
      <c r="J744" s="20"/>
    </row>
    <row r="745">
      <c r="A745" s="11"/>
      <c r="B745" s="17"/>
      <c r="D745" s="17"/>
      <c r="I745" s="17"/>
      <c r="J745" s="20"/>
    </row>
    <row r="746">
      <c r="A746" s="11"/>
      <c r="B746" s="17"/>
      <c r="D746" s="17"/>
      <c r="I746" s="17"/>
      <c r="J746" s="20"/>
    </row>
    <row r="747">
      <c r="A747" s="11"/>
      <c r="B747" s="17"/>
      <c r="D747" s="17"/>
      <c r="I747" s="17"/>
      <c r="J747" s="20"/>
    </row>
    <row r="748">
      <c r="A748" s="11"/>
      <c r="B748" s="17"/>
      <c r="D748" s="17"/>
      <c r="I748" s="17"/>
      <c r="J748" s="20"/>
    </row>
    <row r="749">
      <c r="A749" s="11"/>
      <c r="B749" s="17"/>
      <c r="D749" s="17"/>
      <c r="I749" s="17"/>
      <c r="J749" s="20"/>
    </row>
    <row r="750">
      <c r="A750" s="11"/>
      <c r="B750" s="17"/>
      <c r="D750" s="17"/>
      <c r="I750" s="17"/>
      <c r="J750" s="20"/>
    </row>
    <row r="751">
      <c r="A751" s="11"/>
      <c r="B751" s="17"/>
      <c r="D751" s="17"/>
      <c r="I751" s="17"/>
      <c r="J751" s="20"/>
    </row>
    <row r="752">
      <c r="A752" s="11"/>
      <c r="B752" s="17"/>
      <c r="D752" s="17"/>
      <c r="I752" s="17"/>
      <c r="J752" s="20"/>
    </row>
    <row r="753">
      <c r="A753" s="11"/>
      <c r="B753" s="17"/>
      <c r="D753" s="17"/>
      <c r="I753" s="17"/>
      <c r="J753" s="20"/>
    </row>
    <row r="754">
      <c r="A754" s="11"/>
      <c r="B754" s="17"/>
      <c r="D754" s="17"/>
      <c r="I754" s="17"/>
      <c r="J754" s="20"/>
    </row>
    <row r="755">
      <c r="A755" s="11"/>
      <c r="B755" s="17"/>
      <c r="D755" s="17"/>
      <c r="I755" s="17"/>
      <c r="J755" s="20"/>
    </row>
    <row r="756">
      <c r="A756" s="11"/>
      <c r="B756" s="17"/>
      <c r="D756" s="17"/>
      <c r="I756" s="17"/>
      <c r="J756" s="20"/>
    </row>
    <row r="757">
      <c r="A757" s="11"/>
      <c r="B757" s="17"/>
      <c r="D757" s="17"/>
      <c r="I757" s="17"/>
      <c r="J757" s="20"/>
    </row>
    <row r="758">
      <c r="A758" s="11"/>
      <c r="B758" s="17"/>
      <c r="D758" s="17"/>
      <c r="I758" s="17"/>
      <c r="J758" s="20"/>
    </row>
    <row r="759">
      <c r="A759" s="11"/>
      <c r="B759" s="17"/>
      <c r="D759" s="17"/>
      <c r="I759" s="17"/>
      <c r="J759" s="20"/>
    </row>
    <row r="760">
      <c r="A760" s="11"/>
      <c r="B760" s="17"/>
      <c r="D760" s="17"/>
      <c r="I760" s="17"/>
      <c r="J760" s="20"/>
    </row>
    <row r="761">
      <c r="A761" s="11"/>
      <c r="B761" s="17"/>
      <c r="D761" s="17"/>
      <c r="I761" s="17"/>
      <c r="J761" s="20"/>
    </row>
    <row r="762">
      <c r="A762" s="11"/>
      <c r="B762" s="17"/>
      <c r="D762" s="17"/>
      <c r="I762" s="17"/>
      <c r="J762" s="20"/>
    </row>
    <row r="763">
      <c r="A763" s="11"/>
      <c r="B763" s="17"/>
      <c r="D763" s="17"/>
      <c r="I763" s="17"/>
      <c r="J763" s="20"/>
    </row>
    <row r="764">
      <c r="A764" s="11"/>
      <c r="B764" s="17"/>
      <c r="D764" s="17"/>
      <c r="I764" s="17"/>
      <c r="J764" s="20"/>
    </row>
    <row r="765">
      <c r="A765" s="11"/>
      <c r="B765" s="17"/>
      <c r="D765" s="17"/>
      <c r="I765" s="17"/>
      <c r="J765" s="20"/>
    </row>
    <row r="766">
      <c r="A766" s="11"/>
      <c r="B766" s="17"/>
      <c r="D766" s="17"/>
      <c r="I766" s="17"/>
      <c r="J766" s="20"/>
    </row>
    <row r="767">
      <c r="A767" s="11"/>
      <c r="B767" s="17"/>
      <c r="D767" s="17"/>
      <c r="I767" s="17"/>
      <c r="J767" s="20"/>
    </row>
    <row r="768">
      <c r="A768" s="11"/>
      <c r="B768" s="17"/>
      <c r="D768" s="17"/>
      <c r="I768" s="17"/>
      <c r="J768" s="20"/>
    </row>
    <row r="769">
      <c r="A769" s="11"/>
      <c r="B769" s="17"/>
      <c r="D769" s="17"/>
      <c r="I769" s="17"/>
      <c r="J769" s="20"/>
    </row>
    <row r="770">
      <c r="A770" s="11"/>
      <c r="B770" s="17"/>
      <c r="D770" s="17"/>
      <c r="I770" s="17"/>
      <c r="J770" s="20"/>
    </row>
    <row r="771">
      <c r="A771" s="11"/>
      <c r="B771" s="17"/>
      <c r="D771" s="17"/>
      <c r="I771" s="17"/>
      <c r="J771" s="20"/>
    </row>
    <row r="772">
      <c r="A772" s="11"/>
      <c r="B772" s="17"/>
      <c r="D772" s="17"/>
      <c r="I772" s="17"/>
      <c r="J772" s="20"/>
    </row>
    <row r="773">
      <c r="A773" s="11"/>
      <c r="B773" s="17"/>
      <c r="D773" s="17"/>
      <c r="I773" s="17"/>
      <c r="J773" s="20"/>
    </row>
    <row r="774">
      <c r="A774" s="11"/>
      <c r="B774" s="17"/>
      <c r="D774" s="17"/>
      <c r="I774" s="17"/>
      <c r="J774" s="20"/>
    </row>
    <row r="775">
      <c r="A775" s="11"/>
      <c r="B775" s="17"/>
      <c r="D775" s="17"/>
      <c r="I775" s="17"/>
      <c r="J775" s="20"/>
    </row>
    <row r="776">
      <c r="A776" s="11"/>
      <c r="B776" s="17"/>
      <c r="D776" s="17"/>
      <c r="I776" s="17"/>
      <c r="J776" s="20"/>
    </row>
    <row r="777">
      <c r="A777" s="11"/>
      <c r="B777" s="17"/>
      <c r="D777" s="17"/>
      <c r="I777" s="17"/>
      <c r="J777" s="20"/>
    </row>
    <row r="778">
      <c r="A778" s="11"/>
      <c r="B778" s="17"/>
      <c r="D778" s="17"/>
      <c r="I778" s="17"/>
      <c r="J778" s="20"/>
    </row>
    <row r="779">
      <c r="A779" s="11"/>
      <c r="B779" s="17"/>
      <c r="D779" s="17"/>
      <c r="I779" s="17"/>
      <c r="J779" s="20"/>
    </row>
    <row r="780">
      <c r="A780" s="11"/>
      <c r="B780" s="17"/>
      <c r="D780" s="17"/>
      <c r="I780" s="17"/>
      <c r="J780" s="20"/>
    </row>
    <row r="781">
      <c r="A781" s="11"/>
      <c r="B781" s="17"/>
      <c r="D781" s="17"/>
      <c r="I781" s="17"/>
      <c r="J781" s="20"/>
    </row>
    <row r="782">
      <c r="A782" s="11"/>
      <c r="B782" s="17"/>
      <c r="D782" s="17"/>
      <c r="I782" s="17"/>
      <c r="J782" s="20"/>
    </row>
    <row r="783">
      <c r="A783" s="11"/>
      <c r="B783" s="17"/>
      <c r="D783" s="17"/>
      <c r="I783" s="17"/>
      <c r="J783" s="20"/>
    </row>
    <row r="784">
      <c r="A784" s="11"/>
      <c r="B784" s="17"/>
      <c r="D784" s="17"/>
      <c r="I784" s="17"/>
      <c r="J784" s="20"/>
    </row>
    <row r="785">
      <c r="A785" s="11"/>
      <c r="B785" s="17"/>
      <c r="D785" s="17"/>
      <c r="I785" s="17"/>
      <c r="J785" s="20"/>
    </row>
    <row r="786">
      <c r="A786" s="11"/>
      <c r="B786" s="17"/>
      <c r="D786" s="17"/>
      <c r="I786" s="17"/>
      <c r="J786" s="20"/>
    </row>
    <row r="787">
      <c r="A787" s="11"/>
      <c r="B787" s="17"/>
      <c r="D787" s="17"/>
      <c r="I787" s="17"/>
      <c r="J787" s="20"/>
    </row>
    <row r="788">
      <c r="A788" s="11"/>
      <c r="B788" s="17"/>
      <c r="D788" s="17"/>
      <c r="I788" s="17"/>
      <c r="J788" s="20"/>
    </row>
    <row r="789">
      <c r="A789" s="11"/>
      <c r="B789" s="17"/>
      <c r="D789" s="17"/>
      <c r="I789" s="17"/>
      <c r="J789" s="20"/>
    </row>
    <row r="790">
      <c r="A790" s="11"/>
      <c r="B790" s="17"/>
      <c r="D790" s="17"/>
      <c r="I790" s="17"/>
      <c r="J790" s="20"/>
    </row>
    <row r="791">
      <c r="A791" s="11"/>
      <c r="B791" s="17"/>
      <c r="D791" s="17"/>
      <c r="I791" s="17"/>
      <c r="J791" s="20"/>
    </row>
    <row r="792">
      <c r="A792" s="11"/>
      <c r="B792" s="17"/>
      <c r="D792" s="17"/>
      <c r="I792" s="17"/>
      <c r="J792" s="20"/>
    </row>
    <row r="793">
      <c r="A793" s="11"/>
      <c r="B793" s="17"/>
      <c r="D793" s="17"/>
      <c r="I793" s="17"/>
      <c r="J793" s="20"/>
    </row>
    <row r="794">
      <c r="A794" s="11"/>
      <c r="B794" s="17"/>
      <c r="D794" s="17"/>
      <c r="I794" s="17"/>
      <c r="J794" s="20"/>
    </row>
    <row r="795">
      <c r="A795" s="11"/>
      <c r="B795" s="17"/>
      <c r="D795" s="17"/>
      <c r="I795" s="17"/>
      <c r="J795" s="20"/>
    </row>
    <row r="796">
      <c r="A796" s="11"/>
      <c r="B796" s="17"/>
      <c r="D796" s="17"/>
      <c r="I796" s="17"/>
      <c r="J796" s="20"/>
    </row>
    <row r="797">
      <c r="A797" s="11"/>
      <c r="B797" s="17"/>
      <c r="D797" s="17"/>
      <c r="I797" s="17"/>
      <c r="J797" s="20"/>
    </row>
    <row r="798">
      <c r="A798" s="11"/>
      <c r="B798" s="17"/>
      <c r="D798" s="17"/>
      <c r="I798" s="17"/>
      <c r="J798" s="20"/>
    </row>
    <row r="799">
      <c r="A799" s="11"/>
      <c r="B799" s="17"/>
      <c r="D799" s="17"/>
      <c r="I799" s="17"/>
      <c r="J799" s="20"/>
    </row>
    <row r="800">
      <c r="A800" s="11"/>
      <c r="B800" s="17"/>
      <c r="D800" s="17"/>
      <c r="I800" s="17"/>
      <c r="J800" s="20"/>
    </row>
    <row r="801">
      <c r="A801" s="11"/>
      <c r="B801" s="17"/>
      <c r="D801" s="17"/>
      <c r="I801" s="17"/>
      <c r="J801" s="20"/>
    </row>
    <row r="802">
      <c r="A802" s="11"/>
      <c r="B802" s="17"/>
      <c r="D802" s="17"/>
      <c r="I802" s="17"/>
      <c r="J802" s="20"/>
    </row>
    <row r="803">
      <c r="A803" s="11"/>
      <c r="B803" s="17"/>
      <c r="D803" s="17"/>
      <c r="I803" s="17"/>
      <c r="J803" s="20"/>
    </row>
    <row r="804">
      <c r="A804" s="11"/>
      <c r="B804" s="17"/>
      <c r="D804" s="17"/>
      <c r="I804" s="17"/>
      <c r="J804" s="20"/>
    </row>
    <row r="805">
      <c r="A805" s="11"/>
      <c r="B805" s="17"/>
      <c r="D805" s="17"/>
      <c r="I805" s="17"/>
      <c r="J805" s="20"/>
    </row>
    <row r="806">
      <c r="A806" s="11"/>
      <c r="B806" s="17"/>
      <c r="D806" s="17"/>
      <c r="I806" s="17"/>
      <c r="J806" s="20"/>
    </row>
    <row r="807">
      <c r="A807" s="11"/>
      <c r="B807" s="17"/>
      <c r="D807" s="17"/>
      <c r="I807" s="17"/>
      <c r="J807" s="20"/>
    </row>
    <row r="808">
      <c r="A808" s="11"/>
      <c r="B808" s="17"/>
      <c r="D808" s="17"/>
      <c r="I808" s="17"/>
      <c r="J808" s="20"/>
    </row>
    <row r="809">
      <c r="A809" s="11"/>
      <c r="B809" s="17"/>
      <c r="D809" s="17"/>
      <c r="I809" s="17"/>
      <c r="J809" s="20"/>
    </row>
    <row r="810">
      <c r="A810" s="11"/>
      <c r="B810" s="17"/>
      <c r="D810" s="17"/>
      <c r="I810" s="17"/>
      <c r="J810" s="20"/>
    </row>
    <row r="811">
      <c r="A811" s="11"/>
      <c r="B811" s="17"/>
      <c r="D811" s="17"/>
      <c r="I811" s="17"/>
      <c r="J811" s="20"/>
    </row>
    <row r="812">
      <c r="A812" s="11"/>
      <c r="B812" s="17"/>
      <c r="D812" s="17"/>
      <c r="I812" s="17"/>
      <c r="J812" s="20"/>
    </row>
    <row r="813">
      <c r="A813" s="11"/>
      <c r="B813" s="17"/>
      <c r="D813" s="17"/>
      <c r="I813" s="17"/>
      <c r="J813" s="20"/>
    </row>
    <row r="814">
      <c r="A814" s="11"/>
      <c r="B814" s="17"/>
      <c r="D814" s="17"/>
      <c r="I814" s="17"/>
      <c r="J814" s="20"/>
    </row>
    <row r="815">
      <c r="A815" s="11"/>
      <c r="B815" s="17"/>
      <c r="D815" s="17"/>
      <c r="I815" s="17"/>
      <c r="J815" s="20"/>
    </row>
    <row r="816">
      <c r="A816" s="11"/>
      <c r="B816" s="17"/>
      <c r="D816" s="17"/>
      <c r="I816" s="17"/>
      <c r="J816" s="20"/>
    </row>
    <row r="817">
      <c r="A817" s="11"/>
      <c r="B817" s="17"/>
      <c r="D817" s="17"/>
      <c r="I817" s="17"/>
      <c r="J817" s="20"/>
    </row>
    <row r="818">
      <c r="A818" s="11"/>
      <c r="B818" s="17"/>
      <c r="D818" s="17"/>
      <c r="I818" s="17"/>
      <c r="J818" s="20"/>
    </row>
    <row r="819">
      <c r="A819" s="11"/>
      <c r="B819" s="17"/>
      <c r="D819" s="17"/>
      <c r="I819" s="17"/>
      <c r="J819" s="20"/>
    </row>
    <row r="820">
      <c r="A820" s="11"/>
      <c r="B820" s="17"/>
      <c r="D820" s="17"/>
      <c r="I820" s="17"/>
      <c r="J820" s="20"/>
    </row>
    <row r="821">
      <c r="A821" s="11"/>
      <c r="B821" s="17"/>
      <c r="D821" s="17"/>
      <c r="I821" s="17"/>
      <c r="J821" s="20"/>
    </row>
    <row r="822">
      <c r="A822" s="11"/>
      <c r="B822" s="17"/>
      <c r="D822" s="17"/>
      <c r="I822" s="17"/>
      <c r="J822" s="20"/>
    </row>
    <row r="823">
      <c r="A823" s="11"/>
      <c r="B823" s="17"/>
      <c r="D823" s="17"/>
      <c r="I823" s="17"/>
      <c r="J823" s="20"/>
    </row>
    <row r="824">
      <c r="A824" s="11"/>
      <c r="B824" s="17"/>
      <c r="D824" s="17"/>
      <c r="I824" s="17"/>
      <c r="J824" s="20"/>
    </row>
    <row r="825">
      <c r="A825" s="11"/>
      <c r="B825" s="17"/>
      <c r="D825" s="17"/>
      <c r="I825" s="17"/>
      <c r="J825" s="20"/>
    </row>
    <row r="826">
      <c r="A826" s="11"/>
      <c r="B826" s="17"/>
      <c r="D826" s="17"/>
      <c r="I826" s="17"/>
      <c r="J826" s="20"/>
    </row>
    <row r="827">
      <c r="A827" s="11"/>
      <c r="B827" s="17"/>
      <c r="D827" s="17"/>
      <c r="I827" s="17"/>
      <c r="J827" s="20"/>
    </row>
    <row r="828">
      <c r="A828" s="11"/>
      <c r="B828" s="17"/>
      <c r="D828" s="17"/>
      <c r="I828" s="17"/>
      <c r="J828" s="20"/>
    </row>
    <row r="829">
      <c r="A829" s="11"/>
      <c r="B829" s="17"/>
      <c r="D829" s="17"/>
      <c r="I829" s="17"/>
      <c r="J829" s="20"/>
    </row>
    <row r="830">
      <c r="A830" s="11"/>
      <c r="B830" s="17"/>
      <c r="D830" s="17"/>
      <c r="I830" s="17"/>
      <c r="J830" s="20"/>
    </row>
    <row r="831">
      <c r="A831" s="11"/>
      <c r="B831" s="17"/>
      <c r="D831" s="17"/>
      <c r="I831" s="17"/>
      <c r="J831" s="20"/>
    </row>
    <row r="832">
      <c r="A832" s="11"/>
      <c r="B832" s="17"/>
      <c r="D832" s="17"/>
      <c r="I832" s="17"/>
      <c r="J832" s="20"/>
    </row>
    <row r="833">
      <c r="A833" s="11"/>
      <c r="B833" s="17"/>
      <c r="D833" s="17"/>
      <c r="I833" s="17"/>
      <c r="J833" s="20"/>
    </row>
    <row r="834">
      <c r="A834" s="11"/>
      <c r="B834" s="17"/>
      <c r="D834" s="17"/>
      <c r="I834" s="17"/>
      <c r="J834" s="20"/>
    </row>
    <row r="835">
      <c r="A835" s="11"/>
      <c r="B835" s="17"/>
      <c r="D835" s="17"/>
      <c r="I835" s="17"/>
      <c r="J835" s="20"/>
    </row>
    <row r="836">
      <c r="A836" s="11"/>
      <c r="B836" s="17"/>
      <c r="D836" s="17"/>
      <c r="I836" s="17"/>
      <c r="J836" s="20"/>
    </row>
    <row r="837">
      <c r="A837" s="11"/>
      <c r="B837" s="17"/>
      <c r="D837" s="17"/>
      <c r="I837" s="17"/>
      <c r="J837" s="20"/>
    </row>
    <row r="838">
      <c r="A838" s="11"/>
      <c r="B838" s="17"/>
      <c r="D838" s="17"/>
      <c r="I838" s="17"/>
      <c r="J838" s="20"/>
    </row>
    <row r="839">
      <c r="A839" s="11"/>
      <c r="B839" s="17"/>
      <c r="D839" s="17"/>
      <c r="I839" s="17"/>
      <c r="J839" s="20"/>
    </row>
    <row r="840">
      <c r="A840" s="11"/>
      <c r="B840" s="17"/>
      <c r="D840" s="17"/>
      <c r="I840" s="17"/>
      <c r="J840" s="20"/>
    </row>
    <row r="841">
      <c r="A841" s="11"/>
      <c r="B841" s="17"/>
      <c r="D841" s="17"/>
      <c r="I841" s="17"/>
      <c r="J841" s="20"/>
    </row>
    <row r="842">
      <c r="A842" s="11"/>
      <c r="B842" s="17"/>
      <c r="D842" s="17"/>
      <c r="I842" s="17"/>
      <c r="J842" s="20"/>
    </row>
    <row r="843">
      <c r="A843" s="11"/>
      <c r="B843" s="17"/>
      <c r="D843" s="17"/>
      <c r="I843" s="17"/>
      <c r="J843" s="20"/>
    </row>
    <row r="844">
      <c r="A844" s="11"/>
      <c r="B844" s="17"/>
      <c r="D844" s="17"/>
      <c r="I844" s="17"/>
      <c r="J844" s="20"/>
    </row>
    <row r="845">
      <c r="A845" s="11"/>
      <c r="B845" s="17"/>
      <c r="D845" s="17"/>
      <c r="I845" s="17"/>
      <c r="J845" s="20"/>
    </row>
    <row r="846">
      <c r="A846" s="11"/>
      <c r="B846" s="17"/>
      <c r="D846" s="17"/>
      <c r="I846" s="17"/>
      <c r="J846" s="20"/>
    </row>
    <row r="847">
      <c r="A847" s="11"/>
      <c r="B847" s="17"/>
      <c r="D847" s="17"/>
      <c r="I847" s="17"/>
      <c r="J847" s="20"/>
    </row>
    <row r="848">
      <c r="A848" s="11"/>
      <c r="B848" s="17"/>
      <c r="D848" s="17"/>
      <c r="I848" s="17"/>
      <c r="J848" s="20"/>
    </row>
    <row r="849">
      <c r="A849" s="11"/>
      <c r="B849" s="17"/>
      <c r="D849" s="17"/>
      <c r="I849" s="17"/>
      <c r="J849" s="20"/>
    </row>
    <row r="850">
      <c r="A850" s="11"/>
      <c r="B850" s="17"/>
      <c r="D850" s="17"/>
      <c r="I850" s="17"/>
      <c r="J850" s="20"/>
    </row>
    <row r="851">
      <c r="A851" s="11"/>
      <c r="B851" s="17"/>
      <c r="D851" s="17"/>
      <c r="I851" s="17"/>
      <c r="J851" s="20"/>
    </row>
    <row r="852">
      <c r="A852" s="11"/>
      <c r="B852" s="17"/>
      <c r="D852" s="17"/>
      <c r="I852" s="17"/>
      <c r="J852" s="20"/>
    </row>
    <row r="853">
      <c r="A853" s="11"/>
      <c r="B853" s="17"/>
      <c r="D853" s="17"/>
      <c r="I853" s="17"/>
      <c r="J853" s="20"/>
    </row>
    <row r="854">
      <c r="A854" s="11"/>
      <c r="B854" s="17"/>
      <c r="D854" s="17"/>
      <c r="I854" s="17"/>
      <c r="J854" s="20"/>
    </row>
    <row r="855">
      <c r="A855" s="11"/>
      <c r="B855" s="17"/>
      <c r="D855" s="17"/>
      <c r="I855" s="17"/>
      <c r="J855" s="20"/>
    </row>
    <row r="856">
      <c r="A856" s="11"/>
      <c r="B856" s="17"/>
      <c r="D856" s="17"/>
      <c r="I856" s="17"/>
      <c r="J856" s="20"/>
    </row>
    <row r="857">
      <c r="A857" s="11"/>
      <c r="B857" s="17"/>
      <c r="D857" s="17"/>
      <c r="I857" s="17"/>
      <c r="J857" s="20"/>
    </row>
    <row r="858">
      <c r="A858" s="11"/>
      <c r="B858" s="17"/>
      <c r="D858" s="17"/>
      <c r="I858" s="17"/>
      <c r="J858" s="20"/>
    </row>
    <row r="859">
      <c r="A859" s="11"/>
      <c r="B859" s="17"/>
      <c r="D859" s="17"/>
      <c r="I859" s="17"/>
      <c r="J859" s="20"/>
    </row>
    <row r="860">
      <c r="A860" s="11"/>
      <c r="B860" s="17"/>
      <c r="D860" s="17"/>
      <c r="I860" s="17"/>
      <c r="J860" s="20"/>
    </row>
    <row r="861">
      <c r="A861" s="11"/>
      <c r="B861" s="17"/>
      <c r="D861" s="17"/>
      <c r="I861" s="17"/>
      <c r="J861" s="20"/>
    </row>
    <row r="862">
      <c r="A862" s="11"/>
      <c r="B862" s="17"/>
      <c r="D862" s="17"/>
      <c r="I862" s="17"/>
      <c r="J862" s="20"/>
    </row>
    <row r="863">
      <c r="A863" s="11"/>
      <c r="B863" s="17"/>
      <c r="D863" s="17"/>
      <c r="I863" s="17"/>
      <c r="J863" s="20"/>
    </row>
    <row r="864">
      <c r="A864" s="11"/>
      <c r="B864" s="17"/>
      <c r="D864" s="17"/>
      <c r="I864" s="17"/>
      <c r="J864" s="20"/>
    </row>
    <row r="865">
      <c r="A865" s="11"/>
      <c r="B865" s="17"/>
      <c r="D865" s="17"/>
      <c r="I865" s="17"/>
      <c r="J865" s="20"/>
    </row>
    <row r="866">
      <c r="A866" s="11"/>
      <c r="B866" s="17"/>
      <c r="D866" s="17"/>
      <c r="I866" s="17"/>
      <c r="J866" s="20"/>
    </row>
    <row r="867">
      <c r="A867" s="11"/>
      <c r="B867" s="17"/>
      <c r="D867" s="17"/>
      <c r="I867" s="17"/>
      <c r="J867" s="20"/>
    </row>
    <row r="868">
      <c r="A868" s="11"/>
      <c r="B868" s="17"/>
      <c r="D868" s="17"/>
      <c r="I868" s="17"/>
      <c r="J868" s="20"/>
    </row>
    <row r="869">
      <c r="A869" s="11"/>
      <c r="B869" s="17"/>
      <c r="D869" s="17"/>
      <c r="I869" s="17"/>
      <c r="J869" s="20"/>
    </row>
    <row r="870">
      <c r="A870" s="11"/>
      <c r="B870" s="17"/>
      <c r="D870" s="17"/>
      <c r="I870" s="17"/>
      <c r="J870" s="20"/>
    </row>
    <row r="871">
      <c r="A871" s="11"/>
      <c r="B871" s="17"/>
      <c r="D871" s="17"/>
      <c r="I871" s="17"/>
      <c r="J871" s="20"/>
    </row>
    <row r="872">
      <c r="A872" s="11"/>
      <c r="B872" s="17"/>
      <c r="D872" s="17"/>
      <c r="I872" s="17"/>
      <c r="J872" s="20"/>
    </row>
    <row r="873">
      <c r="A873" s="11"/>
      <c r="B873" s="17"/>
      <c r="D873" s="17"/>
      <c r="I873" s="17"/>
      <c r="J873" s="20"/>
    </row>
    <row r="874">
      <c r="A874" s="11"/>
      <c r="B874" s="17"/>
      <c r="D874" s="17"/>
      <c r="I874" s="17"/>
      <c r="J874" s="20"/>
    </row>
    <row r="875">
      <c r="A875" s="11"/>
      <c r="B875" s="17"/>
      <c r="D875" s="17"/>
      <c r="I875" s="17"/>
      <c r="J875" s="20"/>
    </row>
    <row r="876">
      <c r="A876" s="11"/>
      <c r="B876" s="17"/>
      <c r="D876" s="17"/>
      <c r="I876" s="17"/>
      <c r="J876" s="20"/>
    </row>
    <row r="877">
      <c r="A877" s="11"/>
      <c r="B877" s="17"/>
      <c r="D877" s="17"/>
      <c r="I877" s="17"/>
      <c r="J877" s="20"/>
    </row>
    <row r="878">
      <c r="A878" s="11"/>
      <c r="B878" s="17"/>
      <c r="D878" s="17"/>
      <c r="I878" s="17"/>
      <c r="J878" s="20"/>
    </row>
    <row r="879">
      <c r="A879" s="11"/>
      <c r="B879" s="17"/>
      <c r="D879" s="17"/>
      <c r="I879" s="17"/>
      <c r="J879" s="20"/>
    </row>
    <row r="880">
      <c r="A880" s="11"/>
      <c r="B880" s="17"/>
      <c r="D880" s="17"/>
      <c r="I880" s="17"/>
      <c r="J880" s="20"/>
    </row>
    <row r="881">
      <c r="A881" s="11"/>
      <c r="B881" s="17"/>
      <c r="D881" s="17"/>
      <c r="I881" s="17"/>
      <c r="J881" s="20"/>
    </row>
    <row r="882">
      <c r="A882" s="11"/>
      <c r="B882" s="17"/>
      <c r="D882" s="17"/>
      <c r="I882" s="17"/>
      <c r="J882" s="20"/>
    </row>
    <row r="883">
      <c r="A883" s="11"/>
      <c r="B883" s="17"/>
      <c r="D883" s="17"/>
      <c r="I883" s="17"/>
      <c r="J883" s="20"/>
    </row>
    <row r="884">
      <c r="A884" s="11"/>
      <c r="B884" s="17"/>
      <c r="D884" s="17"/>
      <c r="I884" s="17"/>
      <c r="J884" s="20"/>
    </row>
    <row r="885">
      <c r="A885" s="11"/>
      <c r="B885" s="17"/>
      <c r="D885" s="17"/>
      <c r="I885" s="17"/>
      <c r="J885" s="20"/>
    </row>
    <row r="886">
      <c r="A886" s="11"/>
      <c r="B886" s="17"/>
      <c r="D886" s="17"/>
      <c r="I886" s="17"/>
      <c r="J886" s="20"/>
    </row>
    <row r="887">
      <c r="A887" s="11"/>
      <c r="B887" s="17"/>
      <c r="D887" s="17"/>
      <c r="I887" s="17"/>
      <c r="J887" s="20"/>
    </row>
    <row r="888">
      <c r="A888" s="11"/>
      <c r="B888" s="17"/>
      <c r="D888" s="17"/>
      <c r="I888" s="17"/>
      <c r="J888" s="20"/>
    </row>
    <row r="889">
      <c r="A889" s="11"/>
      <c r="B889" s="17"/>
      <c r="D889" s="17"/>
      <c r="I889" s="17"/>
      <c r="J889" s="20"/>
    </row>
    <row r="890">
      <c r="A890" s="11"/>
      <c r="B890" s="17"/>
      <c r="D890" s="17"/>
      <c r="I890" s="17"/>
      <c r="J890" s="20"/>
    </row>
    <row r="891">
      <c r="A891" s="11"/>
      <c r="B891" s="17"/>
      <c r="D891" s="17"/>
      <c r="I891" s="17"/>
      <c r="J891" s="20"/>
    </row>
    <row r="892">
      <c r="A892" s="11"/>
      <c r="B892" s="17"/>
      <c r="D892" s="17"/>
      <c r="I892" s="17"/>
      <c r="J892" s="20"/>
    </row>
    <row r="893">
      <c r="A893" s="11"/>
      <c r="B893" s="17"/>
      <c r="D893" s="17"/>
      <c r="I893" s="17"/>
      <c r="J893" s="20"/>
    </row>
    <row r="894">
      <c r="A894" s="11"/>
      <c r="B894" s="17"/>
      <c r="D894" s="17"/>
      <c r="I894" s="17"/>
      <c r="J894" s="20"/>
    </row>
    <row r="895">
      <c r="A895" s="11"/>
      <c r="B895" s="17"/>
      <c r="D895" s="17"/>
      <c r="I895" s="17"/>
      <c r="J895" s="20"/>
    </row>
    <row r="896">
      <c r="A896" s="11"/>
      <c r="B896" s="17"/>
      <c r="D896" s="17"/>
      <c r="I896" s="17"/>
      <c r="J896" s="20"/>
    </row>
    <row r="897">
      <c r="A897" s="11"/>
      <c r="B897" s="17"/>
      <c r="D897" s="17"/>
      <c r="I897" s="17"/>
      <c r="J897" s="20"/>
    </row>
    <row r="898">
      <c r="A898" s="11"/>
      <c r="B898" s="17"/>
      <c r="D898" s="17"/>
      <c r="I898" s="17"/>
      <c r="J898" s="20"/>
    </row>
    <row r="899">
      <c r="A899" s="11"/>
      <c r="B899" s="17"/>
      <c r="D899" s="17"/>
      <c r="I899" s="17"/>
      <c r="J899" s="20"/>
    </row>
    <row r="900">
      <c r="A900" s="11"/>
      <c r="B900" s="17"/>
      <c r="D900" s="17"/>
      <c r="I900" s="17"/>
      <c r="J900" s="20"/>
    </row>
    <row r="901">
      <c r="A901" s="11"/>
      <c r="B901" s="17"/>
      <c r="D901" s="17"/>
      <c r="I901" s="17"/>
      <c r="J901" s="20"/>
    </row>
    <row r="902">
      <c r="A902" s="11"/>
      <c r="B902" s="17"/>
      <c r="D902" s="17"/>
      <c r="I902" s="17"/>
      <c r="J902" s="20"/>
    </row>
    <row r="903">
      <c r="A903" s="11"/>
      <c r="B903" s="17"/>
      <c r="D903" s="17"/>
      <c r="I903" s="17"/>
      <c r="J903" s="20"/>
    </row>
    <row r="904">
      <c r="A904" s="11"/>
      <c r="B904" s="17"/>
      <c r="D904" s="17"/>
      <c r="I904" s="17"/>
      <c r="J904" s="20"/>
    </row>
    <row r="905">
      <c r="A905" s="11"/>
      <c r="B905" s="17"/>
      <c r="D905" s="17"/>
      <c r="I905" s="17"/>
      <c r="J905" s="20"/>
    </row>
    <row r="906">
      <c r="A906" s="11"/>
      <c r="B906" s="17"/>
      <c r="D906" s="17"/>
      <c r="I906" s="17"/>
      <c r="J906" s="20"/>
    </row>
    <row r="907">
      <c r="A907" s="11"/>
      <c r="B907" s="17"/>
      <c r="D907" s="17"/>
      <c r="I907" s="17"/>
      <c r="J907" s="20"/>
    </row>
    <row r="908">
      <c r="A908" s="11"/>
      <c r="B908" s="17"/>
      <c r="D908" s="17"/>
      <c r="I908" s="17"/>
      <c r="J908" s="20"/>
    </row>
    <row r="909">
      <c r="A909" s="11"/>
      <c r="B909" s="17"/>
      <c r="D909" s="17"/>
      <c r="I909" s="17"/>
      <c r="J909" s="20"/>
    </row>
    <row r="910">
      <c r="A910" s="11"/>
      <c r="B910" s="17"/>
      <c r="D910" s="17"/>
      <c r="I910" s="17"/>
      <c r="J910" s="20"/>
    </row>
    <row r="911">
      <c r="A911" s="11"/>
      <c r="B911" s="17"/>
      <c r="D911" s="17"/>
      <c r="I911" s="17"/>
      <c r="J911" s="20"/>
    </row>
    <row r="912">
      <c r="A912" s="11"/>
      <c r="B912" s="17"/>
      <c r="D912" s="17"/>
      <c r="I912" s="17"/>
      <c r="J912" s="20"/>
    </row>
    <row r="913">
      <c r="A913" s="11"/>
      <c r="B913" s="17"/>
      <c r="D913" s="17"/>
      <c r="I913" s="17"/>
      <c r="J913" s="20"/>
    </row>
    <row r="914">
      <c r="A914" s="11"/>
      <c r="B914" s="17"/>
      <c r="D914" s="17"/>
      <c r="I914" s="17"/>
      <c r="J914" s="20"/>
    </row>
    <row r="915">
      <c r="A915" s="11"/>
      <c r="B915" s="17"/>
      <c r="D915" s="17"/>
      <c r="I915" s="17"/>
      <c r="J915" s="20"/>
    </row>
    <row r="916">
      <c r="A916" s="11"/>
      <c r="B916" s="17"/>
      <c r="D916" s="17"/>
      <c r="I916" s="17"/>
      <c r="J916" s="20"/>
    </row>
    <row r="917">
      <c r="A917" s="11"/>
      <c r="B917" s="17"/>
      <c r="D917" s="17"/>
      <c r="I917" s="17"/>
      <c r="J917" s="20"/>
    </row>
    <row r="918">
      <c r="A918" s="11"/>
      <c r="B918" s="17"/>
      <c r="D918" s="17"/>
      <c r="I918" s="17"/>
      <c r="J918" s="20"/>
    </row>
    <row r="919">
      <c r="A919" s="11"/>
      <c r="B919" s="17"/>
      <c r="D919" s="17"/>
      <c r="I919" s="17"/>
      <c r="J919" s="20"/>
    </row>
    <row r="920">
      <c r="A920" s="11"/>
      <c r="B920" s="17"/>
      <c r="D920" s="17"/>
      <c r="I920" s="17"/>
      <c r="J920" s="20"/>
    </row>
    <row r="921">
      <c r="A921" s="11"/>
      <c r="B921" s="17"/>
      <c r="D921" s="17"/>
      <c r="I921" s="17"/>
      <c r="J921" s="20"/>
    </row>
    <row r="922">
      <c r="A922" s="11"/>
      <c r="B922" s="17"/>
      <c r="D922" s="17"/>
      <c r="I922" s="17"/>
      <c r="J922" s="20"/>
    </row>
    <row r="923">
      <c r="A923" s="11"/>
      <c r="B923" s="17"/>
      <c r="D923" s="17"/>
      <c r="I923" s="17"/>
      <c r="J923" s="20"/>
    </row>
    <row r="924">
      <c r="A924" s="11"/>
      <c r="B924" s="17"/>
      <c r="D924" s="17"/>
      <c r="I924" s="17"/>
      <c r="J924" s="20"/>
    </row>
    <row r="925">
      <c r="A925" s="11"/>
      <c r="B925" s="17"/>
      <c r="D925" s="17"/>
      <c r="I925" s="17"/>
      <c r="J925" s="20"/>
    </row>
    <row r="926">
      <c r="A926" s="11"/>
      <c r="B926" s="17"/>
      <c r="D926" s="17"/>
      <c r="I926" s="17"/>
      <c r="J926" s="20"/>
    </row>
    <row r="927">
      <c r="A927" s="11"/>
      <c r="B927" s="17"/>
      <c r="D927" s="17"/>
      <c r="I927" s="17"/>
      <c r="J927" s="20"/>
    </row>
    <row r="928">
      <c r="A928" s="11"/>
      <c r="B928" s="17"/>
      <c r="D928" s="17"/>
      <c r="I928" s="17"/>
      <c r="J928" s="20"/>
    </row>
    <row r="929">
      <c r="A929" s="11"/>
      <c r="B929" s="17"/>
      <c r="D929" s="17"/>
      <c r="I929" s="17"/>
      <c r="J929" s="20"/>
    </row>
    <row r="930">
      <c r="A930" s="11"/>
      <c r="B930" s="17"/>
      <c r="D930" s="17"/>
      <c r="I930" s="17"/>
      <c r="J930" s="20"/>
    </row>
    <row r="931">
      <c r="A931" s="11"/>
      <c r="B931" s="17"/>
      <c r="D931" s="17"/>
      <c r="I931" s="17"/>
      <c r="J931" s="20"/>
    </row>
    <row r="932">
      <c r="A932" s="11"/>
      <c r="B932" s="17"/>
      <c r="D932" s="17"/>
      <c r="I932" s="17"/>
      <c r="J932" s="20"/>
    </row>
    <row r="933">
      <c r="A933" s="11"/>
      <c r="B933" s="17"/>
      <c r="D933" s="17"/>
      <c r="I933" s="17"/>
      <c r="J933" s="20"/>
    </row>
    <row r="934">
      <c r="A934" s="11"/>
      <c r="B934" s="17"/>
      <c r="D934" s="17"/>
      <c r="I934" s="17"/>
      <c r="J934" s="20"/>
    </row>
    <row r="935">
      <c r="A935" s="11"/>
      <c r="B935" s="17"/>
      <c r="D935" s="17"/>
      <c r="I935" s="17"/>
      <c r="J935" s="20"/>
    </row>
    <row r="936">
      <c r="A936" s="11"/>
      <c r="B936" s="17"/>
      <c r="D936" s="17"/>
      <c r="I936" s="17"/>
      <c r="J936" s="20"/>
    </row>
    <row r="937">
      <c r="A937" s="11"/>
      <c r="B937" s="17"/>
      <c r="D937" s="17"/>
      <c r="I937" s="17"/>
      <c r="J937" s="20"/>
    </row>
    <row r="938">
      <c r="A938" s="11"/>
      <c r="B938" s="17"/>
      <c r="D938" s="17"/>
      <c r="I938" s="17"/>
      <c r="J938" s="20"/>
    </row>
    <row r="939">
      <c r="A939" s="11"/>
      <c r="B939" s="17"/>
      <c r="D939" s="17"/>
      <c r="I939" s="17"/>
      <c r="J939" s="20"/>
    </row>
    <row r="940">
      <c r="A940" s="11"/>
      <c r="B940" s="17"/>
      <c r="D940" s="17"/>
      <c r="I940" s="17"/>
      <c r="J940" s="20"/>
    </row>
    <row r="941">
      <c r="A941" s="11"/>
      <c r="B941" s="17"/>
      <c r="D941" s="17"/>
      <c r="I941" s="17"/>
      <c r="J941" s="20"/>
    </row>
    <row r="942">
      <c r="A942" s="11"/>
      <c r="B942" s="17"/>
      <c r="D942" s="17"/>
      <c r="I942" s="17"/>
      <c r="J942" s="20"/>
    </row>
    <row r="943">
      <c r="A943" s="11"/>
      <c r="B943" s="17"/>
      <c r="D943" s="17"/>
      <c r="I943" s="17"/>
      <c r="J943" s="20"/>
    </row>
    <row r="944">
      <c r="A944" s="11"/>
      <c r="B944" s="17"/>
      <c r="D944" s="17"/>
      <c r="I944" s="17"/>
      <c r="J944" s="20"/>
    </row>
    <row r="945">
      <c r="A945" s="11"/>
      <c r="B945" s="17"/>
      <c r="D945" s="17"/>
      <c r="I945" s="17"/>
      <c r="J945" s="20"/>
    </row>
    <row r="946">
      <c r="A946" s="11"/>
      <c r="B946" s="17"/>
      <c r="D946" s="17"/>
      <c r="I946" s="17"/>
      <c r="J946" s="20"/>
    </row>
    <row r="947">
      <c r="A947" s="11"/>
      <c r="B947" s="17"/>
      <c r="D947" s="17"/>
      <c r="I947" s="17"/>
      <c r="J947" s="20"/>
    </row>
    <row r="948">
      <c r="A948" s="11"/>
      <c r="B948" s="17"/>
      <c r="D948" s="17"/>
      <c r="I948" s="17"/>
      <c r="J948" s="20"/>
    </row>
    <row r="949">
      <c r="A949" s="11"/>
      <c r="B949" s="17"/>
      <c r="D949" s="17"/>
      <c r="I949" s="17"/>
      <c r="J949" s="20"/>
    </row>
    <row r="950">
      <c r="A950" s="11"/>
      <c r="B950" s="17"/>
      <c r="D950" s="17"/>
      <c r="I950" s="17"/>
      <c r="J950" s="20"/>
    </row>
    <row r="951">
      <c r="A951" s="11"/>
      <c r="B951" s="17"/>
      <c r="D951" s="17"/>
      <c r="I951" s="17"/>
      <c r="J951" s="20"/>
    </row>
    <row r="952">
      <c r="A952" s="11"/>
      <c r="B952" s="17"/>
      <c r="D952" s="17"/>
      <c r="I952" s="17"/>
      <c r="J952" s="20"/>
    </row>
    <row r="953">
      <c r="A953" s="11"/>
      <c r="B953" s="17"/>
      <c r="D953" s="17"/>
      <c r="I953" s="17"/>
      <c r="J953" s="20"/>
    </row>
    <row r="954">
      <c r="A954" s="11"/>
      <c r="B954" s="17"/>
      <c r="D954" s="17"/>
      <c r="I954" s="17"/>
      <c r="J954" s="20"/>
    </row>
    <row r="955">
      <c r="A955" s="11"/>
      <c r="B955" s="17"/>
      <c r="D955" s="17"/>
      <c r="I955" s="17"/>
      <c r="J955" s="20"/>
    </row>
    <row r="956">
      <c r="A956" s="11"/>
      <c r="B956" s="17"/>
      <c r="D956" s="17"/>
      <c r="I956" s="17"/>
      <c r="J956" s="20"/>
    </row>
    <row r="957">
      <c r="A957" s="11"/>
      <c r="B957" s="17"/>
      <c r="D957" s="17"/>
      <c r="I957" s="17"/>
      <c r="J957" s="20"/>
    </row>
    <row r="958">
      <c r="A958" s="11"/>
      <c r="B958" s="17"/>
      <c r="D958" s="17"/>
      <c r="I958" s="17"/>
      <c r="J958" s="20"/>
    </row>
    <row r="959">
      <c r="A959" s="11"/>
      <c r="B959" s="17"/>
      <c r="D959" s="17"/>
      <c r="I959" s="17"/>
      <c r="J959" s="20"/>
    </row>
    <row r="960">
      <c r="A960" s="11"/>
      <c r="B960" s="17"/>
      <c r="D960" s="17"/>
      <c r="I960" s="17"/>
      <c r="J960" s="20"/>
    </row>
    <row r="961">
      <c r="A961" s="11"/>
      <c r="B961" s="17"/>
      <c r="D961" s="17"/>
      <c r="I961" s="17"/>
      <c r="J961" s="20"/>
    </row>
    <row r="962">
      <c r="A962" s="11"/>
      <c r="B962" s="17"/>
      <c r="D962" s="17"/>
      <c r="I962" s="17"/>
      <c r="J962" s="20"/>
    </row>
    <row r="963">
      <c r="A963" s="11"/>
      <c r="B963" s="17"/>
      <c r="D963" s="17"/>
      <c r="I963" s="17"/>
      <c r="J963" s="20"/>
    </row>
    <row r="964">
      <c r="A964" s="11"/>
      <c r="B964" s="17"/>
      <c r="D964" s="17"/>
      <c r="I964" s="17"/>
      <c r="J964" s="20"/>
    </row>
    <row r="965">
      <c r="A965" s="11"/>
      <c r="B965" s="17"/>
      <c r="D965" s="17"/>
      <c r="I965" s="17"/>
      <c r="J965" s="20"/>
    </row>
    <row r="966">
      <c r="A966" s="11"/>
      <c r="B966" s="17"/>
      <c r="D966" s="17"/>
      <c r="I966" s="17"/>
      <c r="J966" s="20"/>
    </row>
    <row r="967">
      <c r="A967" s="11"/>
      <c r="B967" s="17"/>
      <c r="D967" s="17"/>
      <c r="I967" s="17"/>
      <c r="J967" s="20"/>
    </row>
    <row r="968">
      <c r="A968" s="11"/>
      <c r="B968" s="17"/>
      <c r="D968" s="17"/>
      <c r="I968" s="17"/>
      <c r="J968" s="20"/>
    </row>
    <row r="969">
      <c r="A969" s="11"/>
      <c r="B969" s="17"/>
      <c r="D969" s="17"/>
      <c r="I969" s="17"/>
      <c r="J969" s="20"/>
    </row>
    <row r="970">
      <c r="A970" s="11"/>
      <c r="B970" s="17"/>
      <c r="D970" s="17"/>
      <c r="I970" s="17"/>
      <c r="J970" s="20"/>
    </row>
    <row r="971">
      <c r="A971" s="11"/>
      <c r="B971" s="17"/>
      <c r="D971" s="17"/>
      <c r="I971" s="17"/>
      <c r="J971" s="20"/>
    </row>
    <row r="972">
      <c r="A972" s="11"/>
      <c r="B972" s="17"/>
      <c r="D972" s="17"/>
      <c r="I972" s="17"/>
      <c r="J972" s="20"/>
    </row>
    <row r="973">
      <c r="A973" s="11"/>
      <c r="B973" s="17"/>
      <c r="D973" s="17"/>
      <c r="I973" s="17"/>
      <c r="J973" s="20"/>
    </row>
    <row r="974">
      <c r="A974" s="11"/>
      <c r="B974" s="17"/>
      <c r="D974" s="17"/>
      <c r="I974" s="17"/>
      <c r="J974" s="20"/>
    </row>
    <row r="975">
      <c r="A975" s="11"/>
      <c r="B975" s="17"/>
      <c r="D975" s="17"/>
      <c r="I975" s="17"/>
      <c r="J975" s="20"/>
    </row>
    <row r="976">
      <c r="A976" s="11"/>
      <c r="B976" s="17"/>
      <c r="D976" s="17"/>
      <c r="I976" s="17"/>
      <c r="J976" s="20"/>
    </row>
    <row r="977">
      <c r="A977" s="11"/>
      <c r="B977" s="17"/>
      <c r="D977" s="17"/>
      <c r="I977" s="17"/>
      <c r="J977" s="20"/>
    </row>
    <row r="978">
      <c r="A978" s="11"/>
      <c r="B978" s="17"/>
      <c r="D978" s="17"/>
      <c r="I978" s="17"/>
      <c r="J978" s="20"/>
    </row>
    <row r="979">
      <c r="A979" s="11"/>
      <c r="B979" s="17"/>
      <c r="D979" s="17"/>
      <c r="I979" s="17"/>
      <c r="J979" s="20"/>
    </row>
    <row r="980">
      <c r="A980" s="11"/>
      <c r="B980" s="17"/>
      <c r="D980" s="17"/>
      <c r="I980" s="17"/>
      <c r="J980" s="20"/>
    </row>
    <row r="981">
      <c r="A981" s="11"/>
      <c r="B981" s="17"/>
      <c r="D981" s="17"/>
      <c r="I981" s="17"/>
      <c r="J981" s="20"/>
    </row>
    <row r="982">
      <c r="A982" s="11"/>
      <c r="B982" s="17"/>
      <c r="D982" s="17"/>
      <c r="I982" s="17"/>
      <c r="J982" s="20"/>
    </row>
    <row r="983">
      <c r="A983" s="11"/>
      <c r="B983" s="17"/>
      <c r="D983" s="17"/>
      <c r="I983" s="17"/>
      <c r="J983" s="20"/>
    </row>
    <row r="984">
      <c r="A984" s="11"/>
      <c r="B984" s="17"/>
      <c r="D984" s="17"/>
      <c r="I984" s="17"/>
      <c r="J984" s="20"/>
    </row>
    <row r="985">
      <c r="A985" s="11"/>
      <c r="B985" s="17"/>
      <c r="D985" s="17"/>
      <c r="I985" s="17"/>
      <c r="J985" s="20"/>
    </row>
    <row r="986">
      <c r="A986" s="11"/>
      <c r="B986" s="17"/>
      <c r="D986" s="17"/>
      <c r="I986" s="17"/>
      <c r="J986" s="20"/>
    </row>
    <row r="987">
      <c r="A987" s="11"/>
      <c r="B987" s="17"/>
      <c r="D987" s="17"/>
      <c r="I987" s="17"/>
      <c r="J987" s="20"/>
    </row>
    <row r="988">
      <c r="A988" s="11"/>
      <c r="B988" s="17"/>
      <c r="D988" s="17"/>
      <c r="I988" s="17"/>
      <c r="J988" s="20"/>
    </row>
    <row r="989">
      <c r="A989" s="11"/>
      <c r="B989" s="17"/>
      <c r="D989" s="17"/>
      <c r="I989" s="17"/>
      <c r="J989" s="20"/>
    </row>
    <row r="990">
      <c r="A990" s="11"/>
      <c r="B990" s="17"/>
      <c r="D990" s="17"/>
      <c r="I990" s="17"/>
      <c r="J990" s="20"/>
    </row>
    <row r="991">
      <c r="A991" s="11"/>
      <c r="B991" s="17"/>
      <c r="D991" s="17"/>
      <c r="I991" s="17"/>
      <c r="J991" s="20"/>
    </row>
    <row r="992">
      <c r="A992" s="11"/>
      <c r="B992" s="17"/>
      <c r="D992" s="17"/>
      <c r="I992" s="17"/>
      <c r="J992" s="20"/>
    </row>
    <row r="993">
      <c r="A993" s="11"/>
      <c r="B993" s="17"/>
      <c r="D993" s="17"/>
      <c r="I993" s="17"/>
      <c r="J993" s="20"/>
    </row>
    <row r="994">
      <c r="A994" s="11"/>
      <c r="B994" s="17"/>
      <c r="D994" s="17"/>
      <c r="I994" s="17"/>
      <c r="J994" s="20"/>
    </row>
    <row r="995">
      <c r="A995" s="11"/>
      <c r="B995" s="17"/>
      <c r="D995" s="17"/>
      <c r="I995" s="17"/>
      <c r="J995" s="20"/>
    </row>
    <row r="996">
      <c r="A996" s="11"/>
      <c r="B996" s="17"/>
      <c r="D996" s="17"/>
      <c r="I996" s="17"/>
      <c r="J996" s="20"/>
    </row>
    <row r="997">
      <c r="A997" s="11"/>
      <c r="B997" s="17"/>
      <c r="D997" s="17"/>
      <c r="I997" s="17"/>
      <c r="J997" s="20"/>
    </row>
    <row r="998">
      <c r="A998" s="11"/>
      <c r="B998" s="17"/>
      <c r="D998" s="17"/>
      <c r="I998" s="17"/>
      <c r="J998" s="20"/>
    </row>
    <row r="999">
      <c r="A999" s="11"/>
      <c r="B999" s="17"/>
      <c r="D999" s="17"/>
      <c r="I999" s="17"/>
      <c r="J999" s="20"/>
    </row>
    <row r="1000">
      <c r="A1000" s="11"/>
      <c r="B1000" s="17"/>
      <c r="D1000" s="17"/>
      <c r="I1000" s="17"/>
      <c r="J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24.13"/>
  </cols>
  <sheetData>
    <row r="1">
      <c r="A1" s="7"/>
      <c r="B1" s="9" t="s">
        <v>13</v>
      </c>
      <c r="C1" s="10" t="s">
        <v>14</v>
      </c>
    </row>
    <row r="2">
      <c r="A2" s="7" t="s">
        <v>15</v>
      </c>
      <c r="B2" s="13">
        <f>SUM('IG Raw Data'!D:D)</f>
        <v>624905</v>
      </c>
      <c r="C2" s="15">
        <f>sum('Tiktok Performance Metrics'!H:H)</f>
        <v>510905</v>
      </c>
    </row>
    <row r="3">
      <c r="A3" s="7" t="s">
        <v>16</v>
      </c>
      <c r="B3" s="12">
        <f>SUM('IG Raw Data'!C:C)</f>
        <v>418340</v>
      </c>
      <c r="C3" s="12">
        <f>sum('Tiktok Performance Metrics'!E:E)</f>
        <v>527974</v>
      </c>
    </row>
    <row r="4">
      <c r="A4" s="7" t="s">
        <v>17</v>
      </c>
      <c r="B4" s="12">
        <f>SUM('IG Raw Data'!B:B)</f>
        <v>20736514</v>
      </c>
      <c r="C4" s="12">
        <f>sum('Tiktok Performance Metrics'!C:C)</f>
        <v>25126402</v>
      </c>
    </row>
    <row r="5">
      <c r="A5" s="7" t="s">
        <v>18</v>
      </c>
      <c r="B5" s="13">
        <f t="shared" ref="B5:C5" si="1">B2/B3</f>
        <v>1.493773008</v>
      </c>
      <c r="C5" s="13">
        <f t="shared" si="1"/>
        <v>0.9676707565</v>
      </c>
    </row>
    <row r="6">
      <c r="A6" s="7" t="s">
        <v>20</v>
      </c>
      <c r="B6" s="13">
        <f t="shared" ref="B6:C6" si="2">B2/(B4/1000)</f>
        <v>30.1354895</v>
      </c>
      <c r="C6" s="13">
        <f t="shared" si="2"/>
        <v>20.33339274</v>
      </c>
    </row>
    <row r="7">
      <c r="A7" s="7" t="s">
        <v>22</v>
      </c>
      <c r="B7" s="12">
        <f>SUM('IG Raw Data'!E:E)</f>
        <v>7777</v>
      </c>
      <c r="C7" s="12">
        <f>SUM('Tiktok Raw Data'!E:E)</f>
        <v>9870</v>
      </c>
    </row>
    <row r="8">
      <c r="A8" s="7" t="s">
        <v>23</v>
      </c>
      <c r="B8" s="13">
        <f>SUM('IG Raw Data'!D:D)/SUM('IG Raw Data'!E:E)</f>
        <v>80.35296387</v>
      </c>
      <c r="C8" s="13">
        <f>C2/C7</f>
        <v>51.76342452</v>
      </c>
    </row>
    <row r="9">
      <c r="A9" s="7" t="s">
        <v>24</v>
      </c>
      <c r="B9" s="13">
        <f>SUM('IG Raw Data'!F:F)</f>
        <v>1213255</v>
      </c>
      <c r="C9" s="13">
        <f>SUM('Tiktok Raw Data'!F:F)</f>
        <v>1522890</v>
      </c>
    </row>
    <row r="10">
      <c r="A10" s="7" t="s">
        <v>25</v>
      </c>
      <c r="B10" s="27">
        <f t="shared" ref="B10:C10" si="3">B9/B2</f>
        <v>1.941503108</v>
      </c>
      <c r="C10" s="20">
        <f t="shared" si="3"/>
        <v>2.980769419</v>
      </c>
    </row>
    <row r="12">
      <c r="A12" s="28" t="s">
        <v>26</v>
      </c>
      <c r="B12" s="29" t="s">
        <v>27</v>
      </c>
      <c r="C12" s="30" t="s">
        <v>28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8" t="s">
        <v>29</v>
      </c>
      <c r="B13" s="8" t="s">
        <v>27</v>
      </c>
      <c r="C13" s="8" t="s">
        <v>27</v>
      </c>
    </row>
    <row r="14">
      <c r="A14" s="28" t="s">
        <v>30</v>
      </c>
      <c r="B14" s="8" t="s">
        <v>27</v>
      </c>
      <c r="C14" s="8" t="s">
        <v>31</v>
      </c>
    </row>
    <row r="15">
      <c r="A15" s="28" t="s">
        <v>32</v>
      </c>
      <c r="B15" s="15">
        <v>1.49</v>
      </c>
      <c r="C15" s="13">
        <f>'Tiktok Monthly'!D8/'Tiktok Monthly'!C8</f>
        <v>0.8706791068</v>
      </c>
    </row>
    <row r="16">
      <c r="A16" s="28" t="s">
        <v>33</v>
      </c>
      <c r="B16" s="15">
        <v>29.69</v>
      </c>
      <c r="C16" s="13">
        <f>'Tiktok Monthly'!D8/('Tiktok Monthly'!B8/1000)</f>
        <v>19.61885823</v>
      </c>
    </row>
    <row r="17">
      <c r="A17" s="28" t="s">
        <v>34</v>
      </c>
      <c r="B17" s="15">
        <v>160.85</v>
      </c>
      <c r="C17" s="13">
        <f>'Tiktok Monthly'!F8/'Tiktok Monthly'!E8</f>
        <v>156.4455446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" t="s">
        <v>0</v>
      </c>
      <c r="B1" s="3" t="s">
        <v>2</v>
      </c>
      <c r="C1" s="3" t="s">
        <v>3</v>
      </c>
      <c r="D1" s="4" t="s">
        <v>4</v>
      </c>
      <c r="E1" s="3" t="s">
        <v>6</v>
      </c>
      <c r="F1" s="4" t="s">
        <v>7</v>
      </c>
      <c r="G1" s="4" t="s">
        <v>9</v>
      </c>
      <c r="H1" s="1" t="s">
        <v>10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1.0</v>
      </c>
      <c r="B2" s="12">
        <f>SUMIF('Tiktok Performance Metrics'!B:B, A2, 'Tiktok Performance Metrics'!C:C)</f>
        <v>2112620</v>
      </c>
      <c r="C2" s="12">
        <f>SUMIF('Tiktok Performance Metrics'!B:B, A2, 'Tiktok Performance Metrics'!E:E)</f>
        <v>41019</v>
      </c>
      <c r="D2" s="13">
        <f>SUMIF('Tiktok Performance Metrics'!B:B, A2, 'Tiktok Performance Metrics'!H:H)</f>
        <v>40140</v>
      </c>
      <c r="E2" s="12">
        <f>SUMIF('Tiktok Performance Metrics'!B:B, A2, 'Tiktok Performance Metrics'!J:J)</f>
        <v>739</v>
      </c>
      <c r="F2" s="13">
        <f>SUMIF('Tiktok Performance Metrics'!B:B, A2, 'Tiktok Performance Metrics'!L:L)</f>
        <v>124409</v>
      </c>
      <c r="G2" s="13">
        <f t="shared" ref="G2:G13" si="1">F2/E2</f>
        <v>168.3477673</v>
      </c>
      <c r="H2" s="20">
        <f t="shared" ref="H2:H13" si="2">F2/D2</f>
        <v>3.09937718</v>
      </c>
    </row>
    <row r="3">
      <c r="A3" s="8">
        <v>2.0</v>
      </c>
      <c r="B3" s="12">
        <f>SUMIF('Tiktok Performance Metrics'!B:B, A3, 'Tiktok Performance Metrics'!C:C)</f>
        <v>1949003</v>
      </c>
      <c r="C3" s="12">
        <f>SUMIF('Tiktok Performance Metrics'!B:B, A3, 'Tiktok Performance Metrics'!E:E)</f>
        <v>39714</v>
      </c>
      <c r="D3" s="13">
        <f>SUMIF('Tiktok Performance Metrics'!B:B, A3, 'Tiktok Performance Metrics'!H:H)</f>
        <v>37924</v>
      </c>
      <c r="E3" s="12">
        <f>SUMIF('Tiktok Performance Metrics'!B:B, A3, 'Tiktok Performance Metrics'!J:J)</f>
        <v>675</v>
      </c>
      <c r="F3" s="13">
        <f>SUMIF('Tiktok Performance Metrics'!B:B, A3, 'Tiktok Performance Metrics'!L:L)</f>
        <v>113330</v>
      </c>
      <c r="G3" s="13">
        <f t="shared" si="1"/>
        <v>167.8962963</v>
      </c>
      <c r="H3" s="20">
        <f t="shared" si="2"/>
        <v>2.988345111</v>
      </c>
    </row>
    <row r="4">
      <c r="A4" s="8">
        <v>3.0</v>
      </c>
      <c r="B4" s="12">
        <f>SUMIF('Tiktok Performance Metrics'!B:B, A4, 'Tiktok Performance Metrics'!C:C)</f>
        <v>1893765</v>
      </c>
      <c r="C4" s="12">
        <f>SUMIF('Tiktok Performance Metrics'!B:B, A4, 'Tiktok Performance Metrics'!E:E)</f>
        <v>39636</v>
      </c>
      <c r="D4" s="13">
        <f>SUMIF('Tiktok Performance Metrics'!B:B, A4, 'Tiktok Performance Metrics'!H:H)</f>
        <v>37093</v>
      </c>
      <c r="E4" s="12">
        <f>SUMIF('Tiktok Performance Metrics'!B:B, A4, 'Tiktok Performance Metrics'!J:J)</f>
        <v>745</v>
      </c>
      <c r="F4" s="13">
        <f>SUMIF('Tiktok Performance Metrics'!B:B, A4, 'Tiktok Performance Metrics'!L:L)</f>
        <v>116041</v>
      </c>
      <c r="G4" s="13">
        <f t="shared" si="1"/>
        <v>155.7597315</v>
      </c>
      <c r="H4" s="20">
        <f t="shared" si="2"/>
        <v>3.128380018</v>
      </c>
    </row>
    <row r="5">
      <c r="A5" s="8">
        <v>4.0</v>
      </c>
      <c r="B5" s="12">
        <f>SUMIF('Tiktok Performance Metrics'!B:B, A5, 'Tiktok Performance Metrics'!C:C)</f>
        <v>2282519</v>
      </c>
      <c r="C5" s="12">
        <f>SUMIF('Tiktok Performance Metrics'!B:B, A5, 'Tiktok Performance Metrics'!E:E)</f>
        <v>47400</v>
      </c>
      <c r="D5" s="13">
        <f>SUMIF('Tiktok Performance Metrics'!B:B, A5, 'Tiktok Performance Metrics'!H:H)</f>
        <v>47533</v>
      </c>
      <c r="E5" s="12">
        <f>SUMIF('Tiktok Performance Metrics'!B:B, A5, 'Tiktok Performance Metrics'!J:J)</f>
        <v>887</v>
      </c>
      <c r="F5" s="13">
        <f>SUMIF('Tiktok Performance Metrics'!B:B, A5, 'Tiktok Performance Metrics'!L:L)</f>
        <v>138187</v>
      </c>
      <c r="G5" s="13">
        <f t="shared" si="1"/>
        <v>155.7914318</v>
      </c>
      <c r="H5" s="20">
        <f t="shared" si="2"/>
        <v>2.907180275</v>
      </c>
    </row>
    <row r="6">
      <c r="A6" s="8">
        <v>5.0</v>
      </c>
      <c r="B6" s="12">
        <f>SUMIF('Tiktok Performance Metrics'!B:B, A6, 'Tiktok Performance Metrics'!C:C)</f>
        <v>2165819</v>
      </c>
      <c r="C6" s="12">
        <f>SUMIF('Tiktok Performance Metrics'!B:B, A6, 'Tiktok Performance Metrics'!E:E)</f>
        <v>44964</v>
      </c>
      <c r="D6" s="13">
        <f>SUMIF('Tiktok Performance Metrics'!B:B, A6, 'Tiktok Performance Metrics'!H:H)</f>
        <v>46113</v>
      </c>
      <c r="E6" s="12">
        <f>SUMIF('Tiktok Performance Metrics'!B:B, A6, 'Tiktok Performance Metrics'!J:J)</f>
        <v>868</v>
      </c>
      <c r="F6" s="13">
        <f>SUMIF('Tiktok Performance Metrics'!B:B, A6, 'Tiktok Performance Metrics'!L:L)</f>
        <v>131777</v>
      </c>
      <c r="G6" s="13">
        <f t="shared" si="1"/>
        <v>151.8168203</v>
      </c>
      <c r="H6" s="20">
        <f t="shared" si="2"/>
        <v>2.857697396</v>
      </c>
    </row>
    <row r="7">
      <c r="A7" s="8">
        <v>6.0</v>
      </c>
      <c r="B7" s="12">
        <f>SUMIF('Tiktok Performance Metrics'!B:B, A7, 'Tiktok Performance Metrics'!C:C)</f>
        <v>2051995</v>
      </c>
      <c r="C7" s="12">
        <f>SUMIF('Tiktok Performance Metrics'!B:B, A7, 'Tiktok Performance Metrics'!E:E)</f>
        <v>46469</v>
      </c>
      <c r="D7" s="13">
        <f>SUMIF('Tiktok Performance Metrics'!B:B, A7, 'Tiktok Performance Metrics'!H:H)</f>
        <v>45535</v>
      </c>
      <c r="E7" s="12">
        <f>SUMIF('Tiktok Performance Metrics'!B:B, A7, 'Tiktok Performance Metrics'!J:J)</f>
        <v>867</v>
      </c>
      <c r="F7" s="13">
        <f>SUMIF('Tiktok Performance Metrics'!B:B, A7, 'Tiktok Performance Metrics'!L:L)</f>
        <v>136097</v>
      </c>
      <c r="G7" s="13">
        <f t="shared" si="1"/>
        <v>156.9746251</v>
      </c>
      <c r="H7" s="20">
        <f t="shared" si="2"/>
        <v>2.988843747</v>
      </c>
    </row>
    <row r="8">
      <c r="A8" s="8">
        <v>7.0</v>
      </c>
      <c r="B8" s="12">
        <f>SUMIF('Tiktok Performance Metrics'!B:B, A8, 'Tiktok Performance Metrics'!C:C)</f>
        <v>2321236</v>
      </c>
      <c r="C8" s="12">
        <f>SUMIF('Tiktok Performance Metrics'!B:B, A8, 'Tiktok Performance Metrics'!E:E)</f>
        <v>52304</v>
      </c>
      <c r="D8" s="13">
        <f>SUMIF('Tiktok Performance Metrics'!B:B, A8, 'Tiktok Performance Metrics'!H:H)</f>
        <v>45540</v>
      </c>
      <c r="E8" s="12">
        <f>SUMIF('Tiktok Performance Metrics'!B:B, A8, 'Tiktok Performance Metrics'!J:J)</f>
        <v>909</v>
      </c>
      <c r="F8" s="13">
        <f>SUMIF('Tiktok Performance Metrics'!B:B, A8, 'Tiktok Performance Metrics'!L:L)</f>
        <v>142209</v>
      </c>
      <c r="G8" s="13">
        <f t="shared" si="1"/>
        <v>156.4455446</v>
      </c>
      <c r="H8" s="20">
        <f t="shared" si="2"/>
        <v>3.122727273</v>
      </c>
    </row>
    <row r="9">
      <c r="A9" s="8">
        <v>8.0</v>
      </c>
      <c r="B9" s="12">
        <f>SUMIF('Tiktok Performance Metrics'!B:B, A9, 'Tiktok Performance Metrics'!C:C)</f>
        <v>2515056</v>
      </c>
      <c r="C9" s="12">
        <f>SUMIF('Tiktok Performance Metrics'!B:B, A9, 'Tiktok Performance Metrics'!E:E)</f>
        <v>51908</v>
      </c>
      <c r="D9" s="13">
        <f>SUMIF('Tiktok Performance Metrics'!B:B, A9, 'Tiktok Performance Metrics'!H:H)</f>
        <v>44106</v>
      </c>
      <c r="E9" s="12">
        <f>SUMIF('Tiktok Performance Metrics'!B:B, A9, 'Tiktok Performance Metrics'!J:J)</f>
        <v>916</v>
      </c>
      <c r="F9" s="13">
        <f>SUMIF('Tiktok Performance Metrics'!B:B, A9, 'Tiktok Performance Metrics'!L:L)</f>
        <v>140844</v>
      </c>
      <c r="G9" s="13">
        <f t="shared" si="1"/>
        <v>153.7598253</v>
      </c>
      <c r="H9" s="20">
        <f t="shared" si="2"/>
        <v>3.193307033</v>
      </c>
    </row>
    <row r="10">
      <c r="A10" s="8">
        <v>9.0</v>
      </c>
      <c r="B10" s="12">
        <f>SUMIF('Tiktok Performance Metrics'!B:B, A10, 'Tiktok Performance Metrics'!C:C)</f>
        <v>1846314</v>
      </c>
      <c r="C10" s="12">
        <f>SUMIF('Tiktok Performance Metrics'!B:B, A10, 'Tiktok Performance Metrics'!E:E)</f>
        <v>36520</v>
      </c>
      <c r="D10" s="13">
        <f>SUMIF('Tiktok Performance Metrics'!B:B, A10, 'Tiktok Performance Metrics'!H:H)</f>
        <v>35760</v>
      </c>
      <c r="E10" s="12">
        <f>SUMIF('Tiktok Performance Metrics'!B:B, A10, 'Tiktok Performance Metrics'!J:J)</f>
        <v>682</v>
      </c>
      <c r="F10" s="13">
        <f>SUMIF('Tiktok Performance Metrics'!B:B, A10, 'Tiktok Performance Metrics'!L:L)</f>
        <v>107590</v>
      </c>
      <c r="G10" s="13">
        <f t="shared" si="1"/>
        <v>157.7565982</v>
      </c>
      <c r="H10" s="20">
        <f t="shared" si="2"/>
        <v>3.008668904</v>
      </c>
    </row>
    <row r="11">
      <c r="A11" s="8">
        <v>10.0</v>
      </c>
      <c r="B11" s="12">
        <f>SUMIF('Tiktok Performance Metrics'!B:B, A11, 'Tiktok Performance Metrics'!C:C)</f>
        <v>2115203</v>
      </c>
      <c r="C11" s="12">
        <f>SUMIF('Tiktok Performance Metrics'!B:B, A11, 'Tiktok Performance Metrics'!E:E)</f>
        <v>45029</v>
      </c>
      <c r="D11" s="13">
        <f>SUMIF('Tiktok Performance Metrics'!B:B, A11, 'Tiktok Performance Metrics'!H:H)</f>
        <v>39690</v>
      </c>
      <c r="E11" s="12">
        <f>SUMIF('Tiktok Performance Metrics'!B:B, A11, 'Tiktok Performance Metrics'!J:J)</f>
        <v>858</v>
      </c>
      <c r="F11" s="13">
        <f>SUMIF('Tiktok Performance Metrics'!B:B, A11, 'Tiktok Performance Metrics'!L:L)</f>
        <v>127829</v>
      </c>
      <c r="G11" s="13">
        <f t="shared" si="1"/>
        <v>148.9848485</v>
      </c>
      <c r="H11" s="20">
        <f t="shared" si="2"/>
        <v>3.220685311</v>
      </c>
    </row>
    <row r="12">
      <c r="A12" s="8">
        <v>11.0</v>
      </c>
      <c r="B12" s="12">
        <f>SUMIF('Tiktok Performance Metrics'!B:B, A12, 'Tiktok Performance Metrics'!C:C)</f>
        <v>1882573</v>
      </c>
      <c r="C12" s="12">
        <f>SUMIF('Tiktok Performance Metrics'!B:B, A12, 'Tiktok Performance Metrics'!E:E)</f>
        <v>39000</v>
      </c>
      <c r="D12" s="13">
        <f>SUMIF('Tiktok Performance Metrics'!B:B, A12, 'Tiktok Performance Metrics'!H:H)</f>
        <v>34809</v>
      </c>
      <c r="E12" s="12">
        <f>SUMIF('Tiktok Performance Metrics'!B:B, A12, 'Tiktok Performance Metrics'!J:J)</f>
        <v>690</v>
      </c>
      <c r="F12" s="13">
        <f>SUMIF('Tiktok Performance Metrics'!B:B, A12, 'Tiktok Performance Metrics'!L:L)</f>
        <v>111719</v>
      </c>
      <c r="G12" s="13">
        <f t="shared" si="1"/>
        <v>161.9115942</v>
      </c>
      <c r="H12" s="20">
        <f t="shared" si="2"/>
        <v>3.209486052</v>
      </c>
    </row>
    <row r="13">
      <c r="A13" s="8">
        <v>12.0</v>
      </c>
      <c r="B13" s="12">
        <f>SUMIF('Tiktok Performance Metrics'!B:B, A13, 'Tiktok Performance Metrics'!C:C)</f>
        <v>1990299</v>
      </c>
      <c r="C13" s="12">
        <f>SUMIF('Tiktok Performance Metrics'!B:B, A13, 'Tiktok Performance Metrics'!E:E)</f>
        <v>44011</v>
      </c>
      <c r="D13" s="13">
        <f>SUMIF('Tiktok Performance Metrics'!B:B, A13, 'Tiktok Performance Metrics'!H:H)</f>
        <v>56662</v>
      </c>
      <c r="E13" s="12">
        <f>SUMIF('Tiktok Performance Metrics'!B:B, A13, 'Tiktok Performance Metrics'!J:J)</f>
        <v>1034</v>
      </c>
      <c r="F13" s="13">
        <f>SUMIF('Tiktok Performance Metrics'!B:B, A13, 'Tiktok Performance Metrics'!L:L)</f>
        <v>132858</v>
      </c>
      <c r="G13" s="13">
        <f t="shared" si="1"/>
        <v>128.4893617</v>
      </c>
      <c r="H13" s="20">
        <f t="shared" si="2"/>
        <v>2.344746038</v>
      </c>
    </row>
    <row r="14">
      <c r="D14" s="13"/>
      <c r="F14" s="13"/>
      <c r="G14" s="13"/>
      <c r="H14" s="20"/>
    </row>
    <row r="15">
      <c r="D15" s="13"/>
      <c r="F15" s="13"/>
      <c r="G15" s="13"/>
      <c r="H15" s="20"/>
    </row>
    <row r="16">
      <c r="D16" s="13"/>
      <c r="F16" s="13"/>
      <c r="G16" s="13"/>
      <c r="H16" s="20"/>
    </row>
    <row r="17">
      <c r="D17" s="13"/>
      <c r="F17" s="13"/>
      <c r="G17" s="13"/>
      <c r="H17" s="20"/>
    </row>
    <row r="18">
      <c r="D18" s="13"/>
      <c r="F18" s="13"/>
      <c r="G18" s="13"/>
      <c r="H18" s="20"/>
    </row>
    <row r="19">
      <c r="D19" s="13"/>
      <c r="F19" s="13"/>
      <c r="G19" s="13"/>
      <c r="H19" s="20"/>
    </row>
    <row r="20">
      <c r="D20" s="13"/>
      <c r="F20" s="13"/>
      <c r="G20" s="13"/>
      <c r="H20" s="20"/>
    </row>
    <row r="21">
      <c r="D21" s="13"/>
      <c r="F21" s="13"/>
      <c r="G21" s="13"/>
      <c r="H21" s="20"/>
    </row>
    <row r="22">
      <c r="D22" s="13"/>
      <c r="F22" s="13"/>
      <c r="G22" s="13"/>
      <c r="H22" s="20"/>
    </row>
    <row r="23">
      <c r="D23" s="13"/>
      <c r="F23" s="13"/>
      <c r="G23" s="13"/>
      <c r="H23" s="20"/>
    </row>
    <row r="24">
      <c r="D24" s="13"/>
      <c r="F24" s="13"/>
      <c r="G24" s="13"/>
      <c r="H24" s="20"/>
    </row>
    <row r="25">
      <c r="D25" s="13"/>
      <c r="F25" s="13"/>
      <c r="G25" s="13"/>
      <c r="H25" s="20"/>
    </row>
    <row r="26">
      <c r="D26" s="13"/>
      <c r="F26" s="13"/>
      <c r="G26" s="13"/>
      <c r="H26" s="20"/>
    </row>
    <row r="27">
      <c r="D27" s="13"/>
      <c r="F27" s="13"/>
      <c r="G27" s="13"/>
      <c r="H27" s="20"/>
    </row>
    <row r="28">
      <c r="D28" s="13"/>
      <c r="F28" s="13"/>
      <c r="G28" s="13"/>
      <c r="H28" s="20"/>
    </row>
    <row r="29">
      <c r="D29" s="13"/>
      <c r="F29" s="13"/>
      <c r="G29" s="13"/>
      <c r="H29" s="20"/>
    </row>
    <row r="30">
      <c r="D30" s="13"/>
      <c r="F30" s="13"/>
      <c r="G30" s="13"/>
      <c r="H30" s="20"/>
    </row>
    <row r="31">
      <c r="D31" s="13"/>
      <c r="F31" s="13"/>
      <c r="G31" s="13"/>
      <c r="H31" s="20"/>
    </row>
    <row r="32">
      <c r="D32" s="13"/>
      <c r="F32" s="13"/>
      <c r="G32" s="13"/>
      <c r="H32" s="20"/>
    </row>
    <row r="33">
      <c r="D33" s="13"/>
      <c r="F33" s="13"/>
      <c r="G33" s="13"/>
      <c r="H33" s="20"/>
    </row>
    <row r="34">
      <c r="D34" s="13"/>
      <c r="F34" s="13"/>
      <c r="G34" s="13"/>
      <c r="H34" s="20"/>
    </row>
    <row r="35">
      <c r="D35" s="13"/>
      <c r="F35" s="13"/>
      <c r="G35" s="13"/>
      <c r="H35" s="20"/>
    </row>
    <row r="36">
      <c r="D36" s="13"/>
      <c r="F36" s="13"/>
      <c r="G36" s="13"/>
      <c r="H36" s="20"/>
    </row>
    <row r="37">
      <c r="D37" s="13"/>
      <c r="F37" s="13"/>
      <c r="G37" s="13"/>
      <c r="H37" s="20"/>
    </row>
    <row r="38">
      <c r="D38" s="13"/>
      <c r="F38" s="13"/>
      <c r="G38" s="13"/>
      <c r="H38" s="20"/>
    </row>
    <row r="39">
      <c r="D39" s="13"/>
      <c r="F39" s="13"/>
      <c r="G39" s="13"/>
      <c r="H39" s="20"/>
    </row>
    <row r="40">
      <c r="D40" s="13"/>
      <c r="F40" s="13"/>
      <c r="G40" s="13"/>
      <c r="H40" s="20"/>
    </row>
    <row r="41">
      <c r="D41" s="13"/>
      <c r="F41" s="13"/>
      <c r="G41" s="13"/>
      <c r="H41" s="20"/>
    </row>
    <row r="42">
      <c r="D42" s="13"/>
      <c r="F42" s="13"/>
      <c r="G42" s="13"/>
      <c r="H42" s="20"/>
    </row>
    <row r="43">
      <c r="D43" s="13"/>
      <c r="F43" s="13"/>
      <c r="G43" s="13"/>
      <c r="H43" s="20"/>
    </row>
    <row r="44">
      <c r="D44" s="13"/>
      <c r="F44" s="13"/>
      <c r="G44" s="13"/>
      <c r="H44" s="20"/>
    </row>
    <row r="45">
      <c r="D45" s="13"/>
      <c r="F45" s="13"/>
      <c r="G45" s="13"/>
      <c r="H45" s="20"/>
    </row>
    <row r="46">
      <c r="D46" s="13"/>
      <c r="F46" s="13"/>
      <c r="G46" s="13"/>
      <c r="H46" s="20"/>
    </row>
    <row r="47">
      <c r="D47" s="13"/>
      <c r="F47" s="13"/>
      <c r="G47" s="13"/>
      <c r="H47" s="20"/>
    </row>
    <row r="48">
      <c r="D48" s="13"/>
      <c r="F48" s="13"/>
      <c r="G48" s="13"/>
      <c r="H48" s="20"/>
    </row>
    <row r="49">
      <c r="D49" s="13"/>
      <c r="F49" s="13"/>
      <c r="G49" s="13"/>
      <c r="H49" s="20"/>
    </row>
    <row r="50">
      <c r="D50" s="13"/>
      <c r="F50" s="13"/>
      <c r="G50" s="13"/>
      <c r="H50" s="20"/>
    </row>
    <row r="51">
      <c r="D51" s="13"/>
      <c r="F51" s="13"/>
      <c r="G51" s="13"/>
      <c r="H51" s="20"/>
    </row>
    <row r="52">
      <c r="D52" s="13"/>
      <c r="F52" s="13"/>
      <c r="G52" s="13"/>
      <c r="H52" s="20"/>
    </row>
    <row r="53">
      <c r="D53" s="13"/>
      <c r="F53" s="13"/>
      <c r="G53" s="13"/>
      <c r="H53" s="20"/>
    </row>
    <row r="54">
      <c r="D54" s="13"/>
      <c r="F54" s="13"/>
      <c r="G54" s="13"/>
      <c r="H54" s="20"/>
    </row>
    <row r="55">
      <c r="D55" s="13"/>
      <c r="F55" s="13"/>
      <c r="G55" s="13"/>
      <c r="H55" s="20"/>
    </row>
    <row r="56">
      <c r="D56" s="13"/>
      <c r="F56" s="13"/>
      <c r="G56" s="13"/>
      <c r="H56" s="20"/>
    </row>
    <row r="57">
      <c r="D57" s="13"/>
      <c r="F57" s="13"/>
      <c r="G57" s="13"/>
      <c r="H57" s="20"/>
    </row>
    <row r="58">
      <c r="D58" s="13"/>
      <c r="F58" s="13"/>
      <c r="G58" s="13"/>
      <c r="H58" s="20"/>
    </row>
    <row r="59">
      <c r="D59" s="13"/>
      <c r="F59" s="13"/>
      <c r="G59" s="13"/>
      <c r="H59" s="20"/>
    </row>
    <row r="60">
      <c r="D60" s="13"/>
      <c r="F60" s="13"/>
      <c r="G60" s="13"/>
      <c r="H60" s="20"/>
    </row>
    <row r="61">
      <c r="D61" s="13"/>
      <c r="F61" s="13"/>
      <c r="G61" s="13"/>
      <c r="H61" s="20"/>
    </row>
    <row r="62">
      <c r="D62" s="13"/>
      <c r="F62" s="13"/>
      <c r="G62" s="13"/>
      <c r="H62" s="20"/>
    </row>
    <row r="63">
      <c r="D63" s="13"/>
      <c r="F63" s="13"/>
      <c r="G63" s="13"/>
      <c r="H63" s="20"/>
    </row>
    <row r="64">
      <c r="D64" s="13"/>
      <c r="F64" s="13"/>
      <c r="G64" s="13"/>
      <c r="H64" s="20"/>
    </row>
    <row r="65">
      <c r="D65" s="13"/>
      <c r="F65" s="13"/>
      <c r="G65" s="13"/>
      <c r="H65" s="20"/>
    </row>
    <row r="66">
      <c r="D66" s="13"/>
      <c r="F66" s="13"/>
      <c r="G66" s="13"/>
      <c r="H66" s="20"/>
    </row>
    <row r="67">
      <c r="D67" s="13"/>
      <c r="F67" s="13"/>
      <c r="G67" s="13"/>
      <c r="H67" s="20"/>
    </row>
    <row r="68">
      <c r="D68" s="13"/>
      <c r="F68" s="13"/>
      <c r="G68" s="13"/>
      <c r="H68" s="20"/>
    </row>
    <row r="69">
      <c r="D69" s="13"/>
      <c r="F69" s="13"/>
      <c r="G69" s="13"/>
      <c r="H69" s="20"/>
    </row>
    <row r="70">
      <c r="D70" s="13"/>
      <c r="F70" s="13"/>
      <c r="G70" s="13"/>
      <c r="H70" s="20"/>
    </row>
    <row r="71">
      <c r="D71" s="13"/>
      <c r="F71" s="13"/>
      <c r="G71" s="13"/>
      <c r="H71" s="20"/>
    </row>
    <row r="72">
      <c r="D72" s="13"/>
      <c r="F72" s="13"/>
      <c r="G72" s="13"/>
      <c r="H72" s="20"/>
    </row>
    <row r="73">
      <c r="D73" s="13"/>
      <c r="F73" s="13"/>
      <c r="G73" s="13"/>
      <c r="H73" s="20"/>
    </row>
    <row r="74">
      <c r="D74" s="13"/>
      <c r="F74" s="13"/>
      <c r="G74" s="13"/>
      <c r="H74" s="20"/>
    </row>
    <row r="75">
      <c r="D75" s="13"/>
      <c r="F75" s="13"/>
      <c r="G75" s="13"/>
      <c r="H75" s="20"/>
    </row>
    <row r="76">
      <c r="D76" s="13"/>
      <c r="F76" s="13"/>
      <c r="G76" s="13"/>
      <c r="H76" s="20"/>
    </row>
    <row r="77">
      <c r="D77" s="13"/>
      <c r="F77" s="13"/>
      <c r="G77" s="13"/>
      <c r="H77" s="20"/>
    </row>
    <row r="78">
      <c r="D78" s="13"/>
      <c r="F78" s="13"/>
      <c r="G78" s="13"/>
      <c r="H78" s="20"/>
    </row>
    <row r="79">
      <c r="D79" s="13"/>
      <c r="F79" s="13"/>
      <c r="G79" s="13"/>
      <c r="H79" s="20"/>
    </row>
    <row r="80">
      <c r="D80" s="13"/>
      <c r="F80" s="13"/>
      <c r="G80" s="13"/>
      <c r="H80" s="20"/>
    </row>
    <row r="81">
      <c r="D81" s="13"/>
      <c r="F81" s="13"/>
      <c r="G81" s="13"/>
      <c r="H81" s="20"/>
    </row>
    <row r="82">
      <c r="D82" s="13"/>
      <c r="F82" s="13"/>
      <c r="G82" s="13"/>
      <c r="H82" s="20"/>
    </row>
    <row r="83">
      <c r="D83" s="13"/>
      <c r="F83" s="13"/>
      <c r="G83" s="13"/>
      <c r="H83" s="20"/>
    </row>
    <row r="84">
      <c r="D84" s="13"/>
      <c r="F84" s="13"/>
      <c r="G84" s="13"/>
      <c r="H84" s="20"/>
    </row>
    <row r="85">
      <c r="D85" s="13"/>
      <c r="F85" s="13"/>
      <c r="G85" s="13"/>
      <c r="H85" s="20"/>
    </row>
    <row r="86">
      <c r="D86" s="13"/>
      <c r="F86" s="13"/>
      <c r="G86" s="13"/>
      <c r="H86" s="20"/>
    </row>
    <row r="87">
      <c r="D87" s="13"/>
      <c r="F87" s="13"/>
      <c r="G87" s="13"/>
      <c r="H87" s="20"/>
    </row>
    <row r="88">
      <c r="D88" s="13"/>
      <c r="F88" s="13"/>
      <c r="G88" s="13"/>
      <c r="H88" s="20"/>
    </row>
    <row r="89">
      <c r="D89" s="13"/>
      <c r="F89" s="13"/>
      <c r="G89" s="13"/>
      <c r="H89" s="20"/>
    </row>
    <row r="90">
      <c r="D90" s="13"/>
      <c r="F90" s="13"/>
      <c r="G90" s="13"/>
      <c r="H90" s="20"/>
    </row>
    <row r="91">
      <c r="D91" s="13"/>
      <c r="F91" s="13"/>
      <c r="G91" s="13"/>
      <c r="H91" s="20"/>
    </row>
    <row r="92">
      <c r="D92" s="13"/>
      <c r="F92" s="13"/>
      <c r="G92" s="13"/>
      <c r="H92" s="20"/>
    </row>
    <row r="93">
      <c r="D93" s="13"/>
      <c r="F93" s="13"/>
      <c r="G93" s="13"/>
      <c r="H93" s="20"/>
    </row>
    <row r="94">
      <c r="D94" s="13"/>
      <c r="F94" s="13"/>
      <c r="G94" s="13"/>
      <c r="H94" s="20"/>
    </row>
    <row r="95">
      <c r="D95" s="13"/>
      <c r="F95" s="13"/>
      <c r="G95" s="13"/>
      <c r="H95" s="20"/>
    </row>
    <row r="96">
      <c r="D96" s="13"/>
      <c r="F96" s="13"/>
      <c r="G96" s="13"/>
      <c r="H96" s="20"/>
    </row>
    <row r="97">
      <c r="D97" s="13"/>
      <c r="F97" s="13"/>
      <c r="G97" s="13"/>
      <c r="H97" s="20"/>
    </row>
    <row r="98">
      <c r="D98" s="13"/>
      <c r="F98" s="13"/>
      <c r="G98" s="13"/>
      <c r="H98" s="20"/>
    </row>
    <row r="99">
      <c r="D99" s="13"/>
      <c r="F99" s="13"/>
      <c r="G99" s="13"/>
      <c r="H99" s="20"/>
    </row>
    <row r="100">
      <c r="D100" s="13"/>
      <c r="F100" s="13"/>
      <c r="G100" s="13"/>
      <c r="H100" s="20"/>
    </row>
    <row r="101">
      <c r="D101" s="13"/>
      <c r="F101" s="13"/>
      <c r="G101" s="13"/>
      <c r="H101" s="20"/>
    </row>
    <row r="102">
      <c r="D102" s="13"/>
      <c r="F102" s="13"/>
      <c r="G102" s="13"/>
      <c r="H102" s="20"/>
    </row>
    <row r="103">
      <c r="D103" s="13"/>
      <c r="F103" s="13"/>
      <c r="G103" s="13"/>
      <c r="H103" s="20"/>
    </row>
    <row r="104">
      <c r="D104" s="13"/>
      <c r="F104" s="13"/>
      <c r="G104" s="13"/>
      <c r="H104" s="20"/>
    </row>
    <row r="105">
      <c r="D105" s="13"/>
      <c r="F105" s="13"/>
      <c r="G105" s="13"/>
      <c r="H105" s="20"/>
    </row>
    <row r="106">
      <c r="D106" s="13"/>
      <c r="F106" s="13"/>
      <c r="G106" s="13"/>
      <c r="H106" s="20"/>
    </row>
    <row r="107">
      <c r="D107" s="13"/>
      <c r="F107" s="13"/>
      <c r="G107" s="13"/>
      <c r="H107" s="20"/>
    </row>
    <row r="108">
      <c r="D108" s="13"/>
      <c r="F108" s="13"/>
      <c r="G108" s="13"/>
      <c r="H108" s="20"/>
    </row>
    <row r="109">
      <c r="D109" s="13"/>
      <c r="F109" s="13"/>
      <c r="G109" s="13"/>
      <c r="H109" s="20"/>
    </row>
    <row r="110">
      <c r="D110" s="13"/>
      <c r="F110" s="13"/>
      <c r="G110" s="13"/>
      <c r="H110" s="20"/>
    </row>
    <row r="111">
      <c r="D111" s="13"/>
      <c r="F111" s="13"/>
      <c r="G111" s="13"/>
      <c r="H111" s="20"/>
    </row>
    <row r="112">
      <c r="D112" s="13"/>
      <c r="F112" s="13"/>
      <c r="G112" s="13"/>
      <c r="H112" s="20"/>
    </row>
    <row r="113">
      <c r="D113" s="13"/>
      <c r="F113" s="13"/>
      <c r="G113" s="13"/>
      <c r="H113" s="20"/>
    </row>
    <row r="114">
      <c r="D114" s="13"/>
      <c r="F114" s="13"/>
      <c r="G114" s="13"/>
      <c r="H114" s="20"/>
    </row>
    <row r="115">
      <c r="D115" s="13"/>
      <c r="F115" s="13"/>
      <c r="G115" s="13"/>
      <c r="H115" s="20"/>
    </row>
    <row r="116">
      <c r="D116" s="13"/>
      <c r="F116" s="13"/>
      <c r="G116" s="13"/>
      <c r="H116" s="20"/>
    </row>
    <row r="117">
      <c r="D117" s="13"/>
      <c r="F117" s="13"/>
      <c r="G117" s="13"/>
      <c r="H117" s="20"/>
    </row>
    <row r="118">
      <c r="D118" s="13"/>
      <c r="F118" s="13"/>
      <c r="G118" s="13"/>
      <c r="H118" s="20"/>
    </row>
    <row r="119">
      <c r="D119" s="13"/>
      <c r="F119" s="13"/>
      <c r="G119" s="13"/>
      <c r="H119" s="20"/>
    </row>
    <row r="120">
      <c r="D120" s="13"/>
      <c r="F120" s="13"/>
      <c r="G120" s="13"/>
      <c r="H120" s="20"/>
    </row>
    <row r="121">
      <c r="D121" s="13"/>
      <c r="F121" s="13"/>
      <c r="G121" s="13"/>
      <c r="H121" s="20"/>
    </row>
    <row r="122">
      <c r="D122" s="13"/>
      <c r="F122" s="13"/>
      <c r="G122" s="13"/>
      <c r="H122" s="20"/>
    </row>
    <row r="123">
      <c r="D123" s="13"/>
      <c r="F123" s="13"/>
      <c r="G123" s="13"/>
      <c r="H123" s="20"/>
    </row>
    <row r="124">
      <c r="D124" s="13"/>
      <c r="F124" s="13"/>
      <c r="G124" s="13"/>
      <c r="H124" s="20"/>
    </row>
    <row r="125">
      <c r="D125" s="13"/>
      <c r="F125" s="13"/>
      <c r="G125" s="13"/>
      <c r="H125" s="20"/>
    </row>
    <row r="126">
      <c r="D126" s="13"/>
      <c r="F126" s="13"/>
      <c r="G126" s="13"/>
      <c r="H126" s="20"/>
    </row>
    <row r="127">
      <c r="D127" s="13"/>
      <c r="F127" s="13"/>
      <c r="G127" s="13"/>
      <c r="H127" s="20"/>
    </row>
    <row r="128">
      <c r="D128" s="13"/>
      <c r="F128" s="13"/>
      <c r="G128" s="13"/>
      <c r="H128" s="20"/>
    </row>
    <row r="129">
      <c r="D129" s="13"/>
      <c r="F129" s="13"/>
      <c r="G129" s="13"/>
      <c r="H129" s="20"/>
    </row>
    <row r="130">
      <c r="D130" s="13"/>
      <c r="F130" s="13"/>
      <c r="G130" s="13"/>
      <c r="H130" s="20"/>
    </row>
    <row r="131">
      <c r="D131" s="13"/>
      <c r="F131" s="13"/>
      <c r="G131" s="13"/>
      <c r="H131" s="20"/>
    </row>
    <row r="132">
      <c r="D132" s="13"/>
      <c r="F132" s="13"/>
      <c r="G132" s="13"/>
      <c r="H132" s="20"/>
    </row>
    <row r="133">
      <c r="D133" s="13"/>
      <c r="F133" s="13"/>
      <c r="G133" s="13"/>
      <c r="H133" s="20"/>
    </row>
    <row r="134">
      <c r="D134" s="13"/>
      <c r="F134" s="13"/>
      <c r="G134" s="13"/>
      <c r="H134" s="20"/>
    </row>
    <row r="135">
      <c r="D135" s="13"/>
      <c r="F135" s="13"/>
      <c r="G135" s="13"/>
      <c r="H135" s="20"/>
    </row>
    <row r="136">
      <c r="D136" s="13"/>
      <c r="F136" s="13"/>
      <c r="G136" s="13"/>
      <c r="H136" s="20"/>
    </row>
    <row r="137">
      <c r="D137" s="13"/>
      <c r="F137" s="13"/>
      <c r="G137" s="13"/>
      <c r="H137" s="20"/>
    </row>
    <row r="138">
      <c r="D138" s="13"/>
      <c r="F138" s="13"/>
      <c r="G138" s="13"/>
      <c r="H138" s="20"/>
    </row>
    <row r="139">
      <c r="D139" s="13"/>
      <c r="F139" s="13"/>
      <c r="G139" s="13"/>
      <c r="H139" s="20"/>
    </row>
    <row r="140">
      <c r="D140" s="13"/>
      <c r="F140" s="13"/>
      <c r="G140" s="13"/>
      <c r="H140" s="20"/>
    </row>
    <row r="141">
      <c r="D141" s="13"/>
      <c r="F141" s="13"/>
      <c r="G141" s="13"/>
      <c r="H141" s="20"/>
    </row>
    <row r="142">
      <c r="D142" s="13"/>
      <c r="F142" s="13"/>
      <c r="G142" s="13"/>
      <c r="H142" s="20"/>
    </row>
    <row r="143">
      <c r="D143" s="13"/>
      <c r="F143" s="13"/>
      <c r="G143" s="13"/>
      <c r="H143" s="20"/>
    </row>
    <row r="144">
      <c r="D144" s="13"/>
      <c r="F144" s="13"/>
      <c r="G144" s="13"/>
      <c r="H144" s="20"/>
    </row>
    <row r="145">
      <c r="D145" s="13"/>
      <c r="F145" s="13"/>
      <c r="G145" s="13"/>
      <c r="H145" s="20"/>
    </row>
    <row r="146">
      <c r="D146" s="13"/>
      <c r="F146" s="13"/>
      <c r="G146" s="13"/>
      <c r="H146" s="20"/>
    </row>
    <row r="147">
      <c r="D147" s="13"/>
      <c r="F147" s="13"/>
      <c r="G147" s="13"/>
      <c r="H147" s="20"/>
    </row>
    <row r="148">
      <c r="D148" s="13"/>
      <c r="F148" s="13"/>
      <c r="G148" s="13"/>
      <c r="H148" s="20"/>
    </row>
    <row r="149">
      <c r="D149" s="13"/>
      <c r="F149" s="13"/>
      <c r="G149" s="13"/>
      <c r="H149" s="20"/>
    </row>
    <row r="150">
      <c r="D150" s="13"/>
      <c r="F150" s="13"/>
      <c r="G150" s="13"/>
      <c r="H150" s="20"/>
    </row>
    <row r="151">
      <c r="D151" s="13"/>
      <c r="F151" s="13"/>
      <c r="G151" s="13"/>
      <c r="H151" s="20"/>
    </row>
    <row r="152">
      <c r="D152" s="13"/>
      <c r="F152" s="13"/>
      <c r="G152" s="13"/>
      <c r="H152" s="20"/>
    </row>
    <row r="153">
      <c r="D153" s="13"/>
      <c r="F153" s="13"/>
      <c r="G153" s="13"/>
      <c r="H153" s="20"/>
    </row>
    <row r="154">
      <c r="D154" s="13"/>
      <c r="F154" s="13"/>
      <c r="G154" s="13"/>
      <c r="H154" s="20"/>
    </row>
    <row r="155">
      <c r="D155" s="13"/>
      <c r="F155" s="13"/>
      <c r="G155" s="13"/>
      <c r="H155" s="20"/>
    </row>
    <row r="156">
      <c r="D156" s="13"/>
      <c r="F156" s="13"/>
      <c r="G156" s="13"/>
      <c r="H156" s="20"/>
    </row>
    <row r="157">
      <c r="D157" s="13"/>
      <c r="F157" s="13"/>
      <c r="G157" s="13"/>
      <c r="H157" s="20"/>
    </row>
    <row r="158">
      <c r="D158" s="13"/>
      <c r="F158" s="13"/>
      <c r="G158" s="13"/>
      <c r="H158" s="20"/>
    </row>
    <row r="159">
      <c r="D159" s="13"/>
      <c r="F159" s="13"/>
      <c r="G159" s="13"/>
      <c r="H159" s="20"/>
    </row>
    <row r="160">
      <c r="D160" s="13"/>
      <c r="F160" s="13"/>
      <c r="G160" s="13"/>
      <c r="H160" s="20"/>
    </row>
    <row r="161">
      <c r="D161" s="13"/>
      <c r="F161" s="13"/>
      <c r="G161" s="13"/>
      <c r="H161" s="20"/>
    </row>
    <row r="162">
      <c r="D162" s="13"/>
      <c r="F162" s="13"/>
      <c r="G162" s="13"/>
      <c r="H162" s="20"/>
    </row>
    <row r="163">
      <c r="D163" s="13"/>
      <c r="F163" s="13"/>
      <c r="G163" s="13"/>
      <c r="H163" s="20"/>
    </row>
    <row r="164">
      <c r="D164" s="13"/>
      <c r="F164" s="13"/>
      <c r="G164" s="13"/>
      <c r="H164" s="20"/>
    </row>
    <row r="165">
      <c r="D165" s="13"/>
      <c r="F165" s="13"/>
      <c r="G165" s="13"/>
      <c r="H165" s="20"/>
    </row>
    <row r="166">
      <c r="D166" s="13"/>
      <c r="F166" s="13"/>
      <c r="G166" s="13"/>
      <c r="H166" s="20"/>
    </row>
    <row r="167">
      <c r="D167" s="13"/>
      <c r="F167" s="13"/>
      <c r="G167" s="13"/>
      <c r="H167" s="20"/>
    </row>
    <row r="168">
      <c r="D168" s="13"/>
      <c r="F168" s="13"/>
      <c r="G168" s="13"/>
      <c r="H168" s="20"/>
    </row>
    <row r="169">
      <c r="D169" s="13"/>
      <c r="F169" s="13"/>
      <c r="G169" s="13"/>
      <c r="H169" s="20"/>
    </row>
    <row r="170">
      <c r="D170" s="13"/>
      <c r="F170" s="13"/>
      <c r="G170" s="13"/>
      <c r="H170" s="20"/>
    </row>
    <row r="171">
      <c r="D171" s="13"/>
      <c r="F171" s="13"/>
      <c r="G171" s="13"/>
      <c r="H171" s="20"/>
    </row>
    <row r="172">
      <c r="D172" s="13"/>
      <c r="F172" s="13"/>
      <c r="G172" s="13"/>
      <c r="H172" s="20"/>
    </row>
    <row r="173">
      <c r="D173" s="13"/>
      <c r="F173" s="13"/>
      <c r="G173" s="13"/>
      <c r="H173" s="20"/>
    </row>
    <row r="174">
      <c r="D174" s="13"/>
      <c r="F174" s="13"/>
      <c r="G174" s="13"/>
      <c r="H174" s="20"/>
    </row>
    <row r="175">
      <c r="D175" s="13"/>
      <c r="F175" s="13"/>
      <c r="G175" s="13"/>
      <c r="H175" s="20"/>
    </row>
    <row r="176">
      <c r="D176" s="13"/>
      <c r="F176" s="13"/>
      <c r="G176" s="13"/>
      <c r="H176" s="20"/>
    </row>
    <row r="177">
      <c r="D177" s="13"/>
      <c r="F177" s="13"/>
      <c r="G177" s="13"/>
      <c r="H177" s="20"/>
    </row>
    <row r="178">
      <c r="D178" s="13"/>
      <c r="F178" s="13"/>
      <c r="G178" s="13"/>
      <c r="H178" s="20"/>
    </row>
    <row r="179">
      <c r="D179" s="13"/>
      <c r="F179" s="13"/>
      <c r="G179" s="13"/>
      <c r="H179" s="20"/>
    </row>
    <row r="180">
      <c r="D180" s="13"/>
      <c r="F180" s="13"/>
      <c r="G180" s="13"/>
      <c r="H180" s="20"/>
    </row>
    <row r="181">
      <c r="D181" s="13"/>
      <c r="F181" s="13"/>
      <c r="G181" s="13"/>
      <c r="H181" s="20"/>
    </row>
    <row r="182">
      <c r="D182" s="13"/>
      <c r="F182" s="13"/>
      <c r="G182" s="13"/>
      <c r="H182" s="20"/>
    </row>
    <row r="183">
      <c r="D183" s="13"/>
      <c r="F183" s="13"/>
      <c r="G183" s="13"/>
      <c r="H183" s="20"/>
    </row>
    <row r="184">
      <c r="D184" s="13"/>
      <c r="F184" s="13"/>
      <c r="G184" s="13"/>
      <c r="H184" s="20"/>
    </row>
    <row r="185">
      <c r="D185" s="13"/>
      <c r="F185" s="13"/>
      <c r="G185" s="13"/>
      <c r="H185" s="20"/>
    </row>
    <row r="186">
      <c r="D186" s="13"/>
      <c r="F186" s="13"/>
      <c r="G186" s="13"/>
      <c r="H186" s="20"/>
    </row>
    <row r="187">
      <c r="D187" s="13"/>
      <c r="F187" s="13"/>
      <c r="G187" s="13"/>
      <c r="H187" s="20"/>
    </row>
    <row r="188">
      <c r="D188" s="13"/>
      <c r="F188" s="13"/>
      <c r="G188" s="13"/>
      <c r="H188" s="20"/>
    </row>
    <row r="189">
      <c r="D189" s="13"/>
      <c r="F189" s="13"/>
      <c r="G189" s="13"/>
      <c r="H189" s="20"/>
    </row>
    <row r="190">
      <c r="D190" s="13"/>
      <c r="F190" s="13"/>
      <c r="G190" s="13"/>
      <c r="H190" s="20"/>
    </row>
    <row r="191">
      <c r="D191" s="13"/>
      <c r="F191" s="13"/>
      <c r="G191" s="13"/>
      <c r="H191" s="20"/>
    </row>
    <row r="192">
      <c r="D192" s="13"/>
      <c r="F192" s="13"/>
      <c r="G192" s="13"/>
      <c r="H192" s="20"/>
    </row>
    <row r="193">
      <c r="D193" s="13"/>
      <c r="F193" s="13"/>
      <c r="G193" s="13"/>
      <c r="H193" s="20"/>
    </row>
    <row r="194">
      <c r="D194" s="13"/>
      <c r="F194" s="13"/>
      <c r="G194" s="13"/>
      <c r="H194" s="20"/>
    </row>
    <row r="195">
      <c r="D195" s="13"/>
      <c r="F195" s="13"/>
      <c r="G195" s="13"/>
      <c r="H195" s="20"/>
    </row>
    <row r="196">
      <c r="D196" s="13"/>
      <c r="F196" s="13"/>
      <c r="G196" s="13"/>
      <c r="H196" s="20"/>
    </row>
    <row r="197">
      <c r="D197" s="13"/>
      <c r="F197" s="13"/>
      <c r="G197" s="13"/>
      <c r="H197" s="20"/>
    </row>
    <row r="198">
      <c r="D198" s="13"/>
      <c r="F198" s="13"/>
      <c r="G198" s="13"/>
      <c r="H198" s="20"/>
    </row>
    <row r="199">
      <c r="D199" s="13"/>
      <c r="F199" s="13"/>
      <c r="G199" s="13"/>
      <c r="H199" s="20"/>
    </row>
    <row r="200">
      <c r="D200" s="13"/>
      <c r="F200" s="13"/>
      <c r="G200" s="13"/>
      <c r="H200" s="20"/>
    </row>
    <row r="201">
      <c r="D201" s="13"/>
      <c r="F201" s="13"/>
      <c r="G201" s="13"/>
      <c r="H201" s="20"/>
    </row>
    <row r="202">
      <c r="D202" s="13"/>
      <c r="F202" s="13"/>
      <c r="G202" s="13"/>
      <c r="H202" s="20"/>
    </row>
    <row r="203">
      <c r="D203" s="13"/>
      <c r="F203" s="13"/>
      <c r="G203" s="13"/>
      <c r="H203" s="20"/>
    </row>
    <row r="204">
      <c r="D204" s="13"/>
      <c r="F204" s="13"/>
      <c r="G204" s="13"/>
      <c r="H204" s="20"/>
    </row>
    <row r="205">
      <c r="D205" s="13"/>
      <c r="F205" s="13"/>
      <c r="G205" s="13"/>
      <c r="H205" s="20"/>
    </row>
    <row r="206">
      <c r="D206" s="13"/>
      <c r="F206" s="13"/>
      <c r="G206" s="13"/>
      <c r="H206" s="20"/>
    </row>
    <row r="207">
      <c r="D207" s="13"/>
      <c r="F207" s="13"/>
      <c r="G207" s="13"/>
      <c r="H207" s="20"/>
    </row>
    <row r="208">
      <c r="D208" s="13"/>
      <c r="F208" s="13"/>
      <c r="G208" s="13"/>
      <c r="H208" s="20"/>
    </row>
    <row r="209">
      <c r="D209" s="13"/>
      <c r="F209" s="13"/>
      <c r="G209" s="13"/>
      <c r="H209" s="20"/>
    </row>
    <row r="210">
      <c r="D210" s="13"/>
      <c r="F210" s="13"/>
      <c r="G210" s="13"/>
      <c r="H210" s="20"/>
    </row>
    <row r="211">
      <c r="D211" s="13"/>
      <c r="F211" s="13"/>
      <c r="G211" s="13"/>
      <c r="H211" s="20"/>
    </row>
    <row r="212">
      <c r="D212" s="13"/>
      <c r="F212" s="13"/>
      <c r="G212" s="13"/>
      <c r="H212" s="20"/>
    </row>
    <row r="213">
      <c r="D213" s="13"/>
      <c r="F213" s="13"/>
      <c r="G213" s="13"/>
      <c r="H213" s="20"/>
    </row>
    <row r="214">
      <c r="D214" s="13"/>
      <c r="F214" s="13"/>
      <c r="G214" s="13"/>
      <c r="H214" s="20"/>
    </row>
    <row r="215">
      <c r="D215" s="13"/>
      <c r="F215" s="13"/>
      <c r="G215" s="13"/>
      <c r="H215" s="20"/>
    </row>
    <row r="216">
      <c r="D216" s="13"/>
      <c r="F216" s="13"/>
      <c r="G216" s="13"/>
      <c r="H216" s="20"/>
    </row>
    <row r="217">
      <c r="D217" s="13"/>
      <c r="F217" s="13"/>
      <c r="G217" s="13"/>
      <c r="H217" s="20"/>
    </row>
    <row r="218">
      <c r="D218" s="13"/>
      <c r="F218" s="13"/>
      <c r="G218" s="13"/>
      <c r="H218" s="20"/>
    </row>
    <row r="219">
      <c r="D219" s="13"/>
      <c r="F219" s="13"/>
      <c r="G219" s="13"/>
      <c r="H219" s="20"/>
    </row>
    <row r="220">
      <c r="D220" s="13"/>
      <c r="F220" s="13"/>
      <c r="G220" s="13"/>
      <c r="H220" s="20"/>
    </row>
    <row r="221">
      <c r="D221" s="13"/>
      <c r="F221" s="13"/>
      <c r="G221" s="13"/>
      <c r="H221" s="20"/>
    </row>
    <row r="222">
      <c r="D222" s="13"/>
      <c r="F222" s="13"/>
      <c r="G222" s="13"/>
      <c r="H222" s="20"/>
    </row>
    <row r="223">
      <c r="D223" s="13"/>
      <c r="F223" s="13"/>
      <c r="G223" s="13"/>
      <c r="H223" s="20"/>
    </row>
    <row r="224">
      <c r="D224" s="13"/>
      <c r="F224" s="13"/>
      <c r="G224" s="13"/>
      <c r="H224" s="20"/>
    </row>
    <row r="225">
      <c r="D225" s="13"/>
      <c r="F225" s="13"/>
      <c r="G225" s="13"/>
      <c r="H225" s="20"/>
    </row>
    <row r="226">
      <c r="D226" s="13"/>
      <c r="F226" s="13"/>
      <c r="G226" s="13"/>
      <c r="H226" s="20"/>
    </row>
    <row r="227">
      <c r="D227" s="13"/>
      <c r="F227" s="13"/>
      <c r="G227" s="13"/>
      <c r="H227" s="20"/>
    </row>
    <row r="228">
      <c r="D228" s="13"/>
      <c r="F228" s="13"/>
      <c r="G228" s="13"/>
      <c r="H228" s="20"/>
    </row>
    <row r="229">
      <c r="D229" s="13"/>
      <c r="F229" s="13"/>
      <c r="G229" s="13"/>
      <c r="H229" s="20"/>
    </row>
    <row r="230">
      <c r="D230" s="13"/>
      <c r="F230" s="13"/>
      <c r="G230" s="13"/>
      <c r="H230" s="20"/>
    </row>
    <row r="231">
      <c r="D231" s="13"/>
      <c r="F231" s="13"/>
      <c r="G231" s="13"/>
      <c r="H231" s="20"/>
    </row>
    <row r="232">
      <c r="D232" s="13"/>
      <c r="F232" s="13"/>
      <c r="G232" s="13"/>
      <c r="H232" s="20"/>
    </row>
    <row r="233">
      <c r="D233" s="13"/>
      <c r="F233" s="13"/>
      <c r="G233" s="13"/>
      <c r="H233" s="20"/>
    </row>
    <row r="234">
      <c r="D234" s="13"/>
      <c r="F234" s="13"/>
      <c r="G234" s="13"/>
      <c r="H234" s="20"/>
    </row>
    <row r="235">
      <c r="D235" s="13"/>
      <c r="F235" s="13"/>
      <c r="G235" s="13"/>
      <c r="H235" s="20"/>
    </row>
    <row r="236">
      <c r="D236" s="13"/>
      <c r="F236" s="13"/>
      <c r="G236" s="13"/>
      <c r="H236" s="20"/>
    </row>
    <row r="237">
      <c r="D237" s="13"/>
      <c r="F237" s="13"/>
      <c r="G237" s="13"/>
      <c r="H237" s="20"/>
    </row>
    <row r="238">
      <c r="D238" s="13"/>
      <c r="F238" s="13"/>
      <c r="G238" s="13"/>
      <c r="H238" s="20"/>
    </row>
    <row r="239">
      <c r="D239" s="13"/>
      <c r="F239" s="13"/>
      <c r="G239" s="13"/>
      <c r="H239" s="20"/>
    </row>
    <row r="240">
      <c r="D240" s="13"/>
      <c r="F240" s="13"/>
      <c r="G240" s="13"/>
      <c r="H240" s="20"/>
    </row>
    <row r="241">
      <c r="D241" s="13"/>
      <c r="F241" s="13"/>
      <c r="G241" s="13"/>
      <c r="H241" s="20"/>
    </row>
    <row r="242">
      <c r="D242" s="13"/>
      <c r="F242" s="13"/>
      <c r="G242" s="13"/>
      <c r="H242" s="20"/>
    </row>
    <row r="243">
      <c r="D243" s="13"/>
      <c r="F243" s="13"/>
      <c r="G243" s="13"/>
      <c r="H243" s="20"/>
    </row>
    <row r="244">
      <c r="D244" s="13"/>
      <c r="F244" s="13"/>
      <c r="G244" s="13"/>
      <c r="H244" s="20"/>
    </row>
    <row r="245">
      <c r="D245" s="13"/>
      <c r="F245" s="13"/>
      <c r="G245" s="13"/>
      <c r="H245" s="20"/>
    </row>
    <row r="246">
      <c r="D246" s="13"/>
      <c r="F246" s="13"/>
      <c r="G246" s="13"/>
      <c r="H246" s="20"/>
    </row>
    <row r="247">
      <c r="D247" s="13"/>
      <c r="F247" s="13"/>
      <c r="G247" s="13"/>
      <c r="H247" s="20"/>
    </row>
    <row r="248">
      <c r="D248" s="13"/>
      <c r="F248" s="13"/>
      <c r="G248" s="13"/>
      <c r="H248" s="20"/>
    </row>
    <row r="249">
      <c r="D249" s="13"/>
      <c r="F249" s="13"/>
      <c r="G249" s="13"/>
      <c r="H249" s="20"/>
    </row>
    <row r="250">
      <c r="D250" s="13"/>
      <c r="F250" s="13"/>
      <c r="G250" s="13"/>
      <c r="H250" s="20"/>
    </row>
    <row r="251">
      <c r="D251" s="13"/>
      <c r="F251" s="13"/>
      <c r="G251" s="13"/>
      <c r="H251" s="20"/>
    </row>
    <row r="252">
      <c r="D252" s="13"/>
      <c r="F252" s="13"/>
      <c r="G252" s="13"/>
      <c r="H252" s="20"/>
    </row>
    <row r="253">
      <c r="D253" s="13"/>
      <c r="F253" s="13"/>
      <c r="G253" s="13"/>
      <c r="H253" s="20"/>
    </row>
    <row r="254">
      <c r="D254" s="13"/>
      <c r="F254" s="13"/>
      <c r="G254" s="13"/>
      <c r="H254" s="20"/>
    </row>
    <row r="255">
      <c r="D255" s="13"/>
      <c r="F255" s="13"/>
      <c r="G255" s="13"/>
      <c r="H255" s="20"/>
    </row>
    <row r="256">
      <c r="D256" s="13"/>
      <c r="F256" s="13"/>
      <c r="G256" s="13"/>
      <c r="H256" s="20"/>
    </row>
    <row r="257">
      <c r="D257" s="13"/>
      <c r="F257" s="13"/>
      <c r="G257" s="13"/>
      <c r="H257" s="20"/>
    </row>
    <row r="258">
      <c r="D258" s="13"/>
      <c r="F258" s="13"/>
      <c r="G258" s="13"/>
      <c r="H258" s="20"/>
    </row>
    <row r="259">
      <c r="D259" s="13"/>
      <c r="F259" s="13"/>
      <c r="G259" s="13"/>
      <c r="H259" s="20"/>
    </row>
    <row r="260">
      <c r="D260" s="13"/>
      <c r="F260" s="13"/>
      <c r="G260" s="13"/>
      <c r="H260" s="20"/>
    </row>
    <row r="261">
      <c r="D261" s="13"/>
      <c r="F261" s="13"/>
      <c r="G261" s="13"/>
      <c r="H261" s="20"/>
    </row>
    <row r="262">
      <c r="D262" s="13"/>
      <c r="F262" s="13"/>
      <c r="G262" s="13"/>
      <c r="H262" s="20"/>
    </row>
    <row r="263">
      <c r="D263" s="13"/>
      <c r="F263" s="13"/>
      <c r="G263" s="13"/>
      <c r="H263" s="20"/>
    </row>
    <row r="264">
      <c r="D264" s="13"/>
      <c r="F264" s="13"/>
      <c r="G264" s="13"/>
      <c r="H264" s="20"/>
    </row>
    <row r="265">
      <c r="D265" s="13"/>
      <c r="F265" s="13"/>
      <c r="G265" s="13"/>
      <c r="H265" s="20"/>
    </row>
    <row r="266">
      <c r="D266" s="13"/>
      <c r="F266" s="13"/>
      <c r="G266" s="13"/>
      <c r="H266" s="20"/>
    </row>
    <row r="267">
      <c r="D267" s="13"/>
      <c r="F267" s="13"/>
      <c r="G267" s="13"/>
      <c r="H267" s="20"/>
    </row>
    <row r="268">
      <c r="D268" s="13"/>
      <c r="F268" s="13"/>
      <c r="G268" s="13"/>
      <c r="H268" s="20"/>
    </row>
    <row r="269">
      <c r="D269" s="13"/>
      <c r="F269" s="13"/>
      <c r="G269" s="13"/>
      <c r="H269" s="20"/>
    </row>
    <row r="270">
      <c r="D270" s="13"/>
      <c r="F270" s="13"/>
      <c r="G270" s="13"/>
      <c r="H270" s="20"/>
    </row>
    <row r="271">
      <c r="D271" s="13"/>
      <c r="F271" s="13"/>
      <c r="G271" s="13"/>
      <c r="H271" s="20"/>
    </row>
    <row r="272">
      <c r="D272" s="13"/>
      <c r="F272" s="13"/>
      <c r="G272" s="13"/>
      <c r="H272" s="20"/>
    </row>
    <row r="273">
      <c r="D273" s="13"/>
      <c r="F273" s="13"/>
      <c r="G273" s="13"/>
      <c r="H273" s="20"/>
    </row>
    <row r="274">
      <c r="D274" s="13"/>
      <c r="F274" s="13"/>
      <c r="G274" s="13"/>
      <c r="H274" s="20"/>
    </row>
    <row r="275">
      <c r="D275" s="13"/>
      <c r="F275" s="13"/>
      <c r="G275" s="13"/>
      <c r="H275" s="20"/>
    </row>
    <row r="276">
      <c r="D276" s="13"/>
      <c r="F276" s="13"/>
      <c r="G276" s="13"/>
      <c r="H276" s="20"/>
    </row>
    <row r="277">
      <c r="D277" s="13"/>
      <c r="F277" s="13"/>
      <c r="G277" s="13"/>
      <c r="H277" s="20"/>
    </row>
    <row r="278">
      <c r="D278" s="13"/>
      <c r="F278" s="13"/>
      <c r="G278" s="13"/>
      <c r="H278" s="20"/>
    </row>
    <row r="279">
      <c r="D279" s="13"/>
      <c r="F279" s="13"/>
      <c r="G279" s="13"/>
      <c r="H279" s="20"/>
    </row>
    <row r="280">
      <c r="D280" s="13"/>
      <c r="F280" s="13"/>
      <c r="G280" s="13"/>
      <c r="H280" s="20"/>
    </row>
    <row r="281">
      <c r="D281" s="13"/>
      <c r="F281" s="13"/>
      <c r="G281" s="13"/>
      <c r="H281" s="20"/>
    </row>
    <row r="282">
      <c r="D282" s="13"/>
      <c r="F282" s="13"/>
      <c r="G282" s="13"/>
      <c r="H282" s="20"/>
    </row>
    <row r="283">
      <c r="D283" s="13"/>
      <c r="F283" s="13"/>
      <c r="G283" s="13"/>
      <c r="H283" s="20"/>
    </row>
    <row r="284">
      <c r="D284" s="13"/>
      <c r="F284" s="13"/>
      <c r="G284" s="13"/>
      <c r="H284" s="20"/>
    </row>
    <row r="285">
      <c r="D285" s="13"/>
      <c r="F285" s="13"/>
      <c r="G285" s="13"/>
      <c r="H285" s="20"/>
    </row>
    <row r="286">
      <c r="D286" s="13"/>
      <c r="F286" s="13"/>
      <c r="G286" s="13"/>
      <c r="H286" s="20"/>
    </row>
    <row r="287">
      <c r="D287" s="13"/>
      <c r="F287" s="13"/>
      <c r="G287" s="13"/>
      <c r="H287" s="20"/>
    </row>
    <row r="288">
      <c r="D288" s="13"/>
      <c r="F288" s="13"/>
      <c r="G288" s="13"/>
      <c r="H288" s="20"/>
    </row>
    <row r="289">
      <c r="D289" s="13"/>
      <c r="F289" s="13"/>
      <c r="G289" s="13"/>
      <c r="H289" s="20"/>
    </row>
    <row r="290">
      <c r="D290" s="13"/>
      <c r="F290" s="13"/>
      <c r="G290" s="13"/>
      <c r="H290" s="20"/>
    </row>
    <row r="291">
      <c r="D291" s="13"/>
      <c r="F291" s="13"/>
      <c r="G291" s="13"/>
      <c r="H291" s="20"/>
    </row>
    <row r="292">
      <c r="D292" s="13"/>
      <c r="F292" s="13"/>
      <c r="G292" s="13"/>
      <c r="H292" s="20"/>
    </row>
    <row r="293">
      <c r="D293" s="13"/>
      <c r="F293" s="13"/>
      <c r="G293" s="13"/>
      <c r="H293" s="20"/>
    </row>
    <row r="294">
      <c r="D294" s="13"/>
      <c r="F294" s="13"/>
      <c r="G294" s="13"/>
      <c r="H294" s="20"/>
    </row>
    <row r="295">
      <c r="D295" s="13"/>
      <c r="F295" s="13"/>
      <c r="G295" s="13"/>
      <c r="H295" s="20"/>
    </row>
    <row r="296">
      <c r="D296" s="13"/>
      <c r="F296" s="13"/>
      <c r="G296" s="13"/>
      <c r="H296" s="20"/>
    </row>
    <row r="297">
      <c r="D297" s="13"/>
      <c r="F297" s="13"/>
      <c r="G297" s="13"/>
      <c r="H297" s="20"/>
    </row>
    <row r="298">
      <c r="D298" s="13"/>
      <c r="F298" s="13"/>
      <c r="G298" s="13"/>
      <c r="H298" s="20"/>
    </row>
    <row r="299">
      <c r="D299" s="13"/>
      <c r="F299" s="13"/>
      <c r="G299" s="13"/>
      <c r="H299" s="20"/>
    </row>
    <row r="300">
      <c r="D300" s="13"/>
      <c r="F300" s="13"/>
      <c r="G300" s="13"/>
      <c r="H300" s="20"/>
    </row>
    <row r="301">
      <c r="D301" s="13"/>
      <c r="F301" s="13"/>
      <c r="G301" s="13"/>
      <c r="H301" s="20"/>
    </row>
    <row r="302">
      <c r="D302" s="13"/>
      <c r="F302" s="13"/>
      <c r="G302" s="13"/>
      <c r="H302" s="20"/>
    </row>
    <row r="303">
      <c r="D303" s="13"/>
      <c r="F303" s="13"/>
      <c r="G303" s="13"/>
      <c r="H303" s="20"/>
    </row>
    <row r="304">
      <c r="D304" s="13"/>
      <c r="F304" s="13"/>
      <c r="G304" s="13"/>
      <c r="H304" s="20"/>
    </row>
    <row r="305">
      <c r="D305" s="13"/>
      <c r="F305" s="13"/>
      <c r="G305" s="13"/>
      <c r="H305" s="20"/>
    </row>
    <row r="306">
      <c r="D306" s="13"/>
      <c r="F306" s="13"/>
      <c r="G306" s="13"/>
      <c r="H306" s="20"/>
    </row>
    <row r="307">
      <c r="D307" s="13"/>
      <c r="F307" s="13"/>
      <c r="G307" s="13"/>
      <c r="H307" s="20"/>
    </row>
    <row r="308">
      <c r="D308" s="13"/>
      <c r="F308" s="13"/>
      <c r="G308" s="13"/>
      <c r="H308" s="20"/>
    </row>
    <row r="309">
      <c r="D309" s="13"/>
      <c r="F309" s="13"/>
      <c r="G309" s="13"/>
      <c r="H309" s="20"/>
    </row>
    <row r="310">
      <c r="D310" s="13"/>
      <c r="F310" s="13"/>
      <c r="G310" s="13"/>
      <c r="H310" s="20"/>
    </row>
    <row r="311">
      <c r="D311" s="13"/>
      <c r="F311" s="13"/>
      <c r="G311" s="13"/>
      <c r="H311" s="20"/>
    </row>
    <row r="312">
      <c r="D312" s="13"/>
      <c r="F312" s="13"/>
      <c r="G312" s="13"/>
      <c r="H312" s="20"/>
    </row>
    <row r="313">
      <c r="D313" s="13"/>
      <c r="F313" s="13"/>
      <c r="G313" s="13"/>
      <c r="H313" s="20"/>
    </row>
    <row r="314">
      <c r="D314" s="13"/>
      <c r="F314" s="13"/>
      <c r="G314" s="13"/>
      <c r="H314" s="20"/>
    </row>
    <row r="315">
      <c r="D315" s="13"/>
      <c r="F315" s="13"/>
      <c r="G315" s="13"/>
      <c r="H315" s="20"/>
    </row>
    <row r="316">
      <c r="D316" s="13"/>
      <c r="F316" s="13"/>
      <c r="G316" s="13"/>
      <c r="H316" s="20"/>
    </row>
    <row r="317">
      <c r="D317" s="13"/>
      <c r="F317" s="13"/>
      <c r="G317" s="13"/>
      <c r="H317" s="20"/>
    </row>
    <row r="318">
      <c r="D318" s="13"/>
      <c r="F318" s="13"/>
      <c r="G318" s="13"/>
      <c r="H318" s="20"/>
    </row>
    <row r="319">
      <c r="D319" s="13"/>
      <c r="F319" s="13"/>
      <c r="G319" s="13"/>
      <c r="H319" s="20"/>
    </row>
    <row r="320">
      <c r="D320" s="13"/>
      <c r="F320" s="13"/>
      <c r="G320" s="13"/>
      <c r="H320" s="20"/>
    </row>
    <row r="321">
      <c r="D321" s="13"/>
      <c r="F321" s="13"/>
      <c r="G321" s="13"/>
      <c r="H321" s="20"/>
    </row>
    <row r="322">
      <c r="D322" s="13"/>
      <c r="F322" s="13"/>
      <c r="G322" s="13"/>
      <c r="H322" s="20"/>
    </row>
    <row r="323">
      <c r="D323" s="13"/>
      <c r="F323" s="13"/>
      <c r="G323" s="13"/>
      <c r="H323" s="20"/>
    </row>
    <row r="324">
      <c r="D324" s="13"/>
      <c r="F324" s="13"/>
      <c r="G324" s="13"/>
      <c r="H324" s="20"/>
    </row>
    <row r="325">
      <c r="D325" s="13"/>
      <c r="F325" s="13"/>
      <c r="G325" s="13"/>
      <c r="H325" s="20"/>
    </row>
    <row r="326">
      <c r="D326" s="13"/>
      <c r="F326" s="13"/>
      <c r="G326" s="13"/>
      <c r="H326" s="20"/>
    </row>
    <row r="327">
      <c r="D327" s="13"/>
      <c r="F327" s="13"/>
      <c r="G327" s="13"/>
      <c r="H327" s="20"/>
    </row>
    <row r="328">
      <c r="D328" s="13"/>
      <c r="F328" s="13"/>
      <c r="G328" s="13"/>
      <c r="H328" s="20"/>
    </row>
    <row r="329">
      <c r="D329" s="13"/>
      <c r="F329" s="13"/>
      <c r="G329" s="13"/>
      <c r="H329" s="20"/>
    </row>
    <row r="330">
      <c r="D330" s="13"/>
      <c r="F330" s="13"/>
      <c r="G330" s="13"/>
      <c r="H330" s="20"/>
    </row>
    <row r="331">
      <c r="D331" s="13"/>
      <c r="F331" s="13"/>
      <c r="G331" s="13"/>
      <c r="H331" s="20"/>
    </row>
    <row r="332">
      <c r="D332" s="13"/>
      <c r="F332" s="13"/>
      <c r="G332" s="13"/>
      <c r="H332" s="20"/>
    </row>
    <row r="333">
      <c r="D333" s="13"/>
      <c r="F333" s="13"/>
      <c r="G333" s="13"/>
      <c r="H333" s="20"/>
    </row>
    <row r="334">
      <c r="D334" s="13"/>
      <c r="F334" s="13"/>
      <c r="G334" s="13"/>
      <c r="H334" s="20"/>
    </row>
    <row r="335">
      <c r="D335" s="13"/>
      <c r="F335" s="13"/>
      <c r="G335" s="13"/>
      <c r="H335" s="20"/>
    </row>
    <row r="336">
      <c r="D336" s="13"/>
      <c r="F336" s="13"/>
      <c r="G336" s="13"/>
      <c r="H336" s="20"/>
    </row>
    <row r="337">
      <c r="D337" s="13"/>
      <c r="F337" s="13"/>
      <c r="G337" s="13"/>
      <c r="H337" s="20"/>
    </row>
    <row r="338">
      <c r="D338" s="13"/>
      <c r="F338" s="13"/>
      <c r="G338" s="13"/>
      <c r="H338" s="20"/>
    </row>
    <row r="339">
      <c r="D339" s="13"/>
      <c r="F339" s="13"/>
      <c r="G339" s="13"/>
      <c r="H339" s="20"/>
    </row>
    <row r="340">
      <c r="D340" s="13"/>
      <c r="F340" s="13"/>
      <c r="G340" s="13"/>
      <c r="H340" s="20"/>
    </row>
    <row r="341">
      <c r="D341" s="13"/>
      <c r="F341" s="13"/>
      <c r="G341" s="13"/>
      <c r="H341" s="20"/>
    </row>
    <row r="342">
      <c r="D342" s="13"/>
      <c r="F342" s="13"/>
      <c r="G342" s="13"/>
      <c r="H342" s="20"/>
    </row>
    <row r="343">
      <c r="D343" s="13"/>
      <c r="F343" s="13"/>
      <c r="G343" s="13"/>
      <c r="H343" s="20"/>
    </row>
    <row r="344">
      <c r="D344" s="13"/>
      <c r="F344" s="13"/>
      <c r="G344" s="13"/>
      <c r="H344" s="20"/>
    </row>
    <row r="345">
      <c r="D345" s="13"/>
      <c r="F345" s="13"/>
      <c r="G345" s="13"/>
      <c r="H345" s="20"/>
    </row>
    <row r="346">
      <c r="D346" s="13"/>
      <c r="F346" s="13"/>
      <c r="G346" s="13"/>
      <c r="H346" s="20"/>
    </row>
    <row r="347">
      <c r="D347" s="13"/>
      <c r="F347" s="13"/>
      <c r="G347" s="13"/>
      <c r="H347" s="20"/>
    </row>
    <row r="348">
      <c r="D348" s="13"/>
      <c r="F348" s="13"/>
      <c r="G348" s="13"/>
      <c r="H348" s="20"/>
    </row>
    <row r="349">
      <c r="D349" s="13"/>
      <c r="F349" s="13"/>
      <c r="G349" s="13"/>
      <c r="H349" s="20"/>
    </row>
    <row r="350">
      <c r="D350" s="13"/>
      <c r="F350" s="13"/>
      <c r="G350" s="13"/>
      <c r="H350" s="20"/>
    </row>
    <row r="351">
      <c r="D351" s="13"/>
      <c r="F351" s="13"/>
      <c r="G351" s="13"/>
      <c r="H351" s="20"/>
    </row>
    <row r="352">
      <c r="D352" s="13"/>
      <c r="F352" s="13"/>
      <c r="G352" s="13"/>
      <c r="H352" s="20"/>
    </row>
    <row r="353">
      <c r="D353" s="13"/>
      <c r="F353" s="13"/>
      <c r="G353" s="13"/>
      <c r="H353" s="20"/>
    </row>
    <row r="354">
      <c r="D354" s="13"/>
      <c r="F354" s="13"/>
      <c r="G354" s="13"/>
      <c r="H354" s="20"/>
    </row>
    <row r="355">
      <c r="D355" s="13"/>
      <c r="F355" s="13"/>
      <c r="G355" s="13"/>
      <c r="H355" s="20"/>
    </row>
    <row r="356">
      <c r="D356" s="13"/>
      <c r="F356" s="13"/>
      <c r="G356" s="13"/>
      <c r="H356" s="20"/>
    </row>
    <row r="357">
      <c r="D357" s="13"/>
      <c r="F357" s="13"/>
      <c r="G357" s="13"/>
      <c r="H357" s="20"/>
    </row>
    <row r="358">
      <c r="D358" s="13"/>
      <c r="F358" s="13"/>
      <c r="G358" s="13"/>
      <c r="H358" s="20"/>
    </row>
    <row r="359">
      <c r="D359" s="13"/>
      <c r="F359" s="13"/>
      <c r="G359" s="13"/>
      <c r="H359" s="20"/>
    </row>
    <row r="360">
      <c r="D360" s="13"/>
      <c r="F360" s="13"/>
      <c r="G360" s="13"/>
      <c r="H360" s="20"/>
    </row>
    <row r="361">
      <c r="D361" s="13"/>
      <c r="F361" s="13"/>
      <c r="G361" s="13"/>
      <c r="H361" s="20"/>
    </row>
    <row r="362">
      <c r="D362" s="13"/>
      <c r="F362" s="13"/>
      <c r="G362" s="13"/>
      <c r="H362" s="20"/>
    </row>
    <row r="363">
      <c r="D363" s="13"/>
      <c r="F363" s="13"/>
      <c r="G363" s="13"/>
      <c r="H363" s="20"/>
    </row>
    <row r="364">
      <c r="D364" s="13"/>
      <c r="F364" s="13"/>
      <c r="G364" s="13"/>
      <c r="H364" s="20"/>
    </row>
    <row r="365">
      <c r="D365" s="13"/>
      <c r="F365" s="13"/>
      <c r="G365" s="13"/>
      <c r="H365" s="20"/>
    </row>
    <row r="366">
      <c r="D366" s="13"/>
      <c r="F366" s="13"/>
      <c r="G366" s="13"/>
      <c r="H366" s="20"/>
    </row>
    <row r="367">
      <c r="D367" s="13"/>
      <c r="F367" s="13"/>
      <c r="G367" s="13"/>
      <c r="H367" s="20"/>
    </row>
    <row r="368">
      <c r="D368" s="13"/>
      <c r="F368" s="13"/>
      <c r="G368" s="13"/>
      <c r="H368" s="20"/>
    </row>
    <row r="369">
      <c r="D369" s="13"/>
      <c r="F369" s="13"/>
      <c r="G369" s="13"/>
      <c r="H369" s="20"/>
    </row>
    <row r="370">
      <c r="D370" s="13"/>
      <c r="F370" s="13"/>
      <c r="G370" s="13"/>
      <c r="H370" s="20"/>
    </row>
    <row r="371">
      <c r="D371" s="13"/>
      <c r="F371" s="13"/>
      <c r="G371" s="13"/>
      <c r="H371" s="20"/>
    </row>
    <row r="372">
      <c r="D372" s="13"/>
      <c r="F372" s="13"/>
      <c r="G372" s="13"/>
      <c r="H372" s="20"/>
    </row>
    <row r="373">
      <c r="D373" s="13"/>
      <c r="F373" s="13"/>
      <c r="G373" s="13"/>
      <c r="H373" s="20"/>
    </row>
    <row r="374">
      <c r="D374" s="13"/>
      <c r="F374" s="13"/>
      <c r="G374" s="13"/>
      <c r="H374" s="20"/>
    </row>
    <row r="375">
      <c r="D375" s="13"/>
      <c r="F375" s="13"/>
      <c r="G375" s="13"/>
      <c r="H375" s="20"/>
    </row>
    <row r="376">
      <c r="D376" s="13"/>
      <c r="F376" s="13"/>
      <c r="G376" s="13"/>
      <c r="H376" s="20"/>
    </row>
    <row r="377">
      <c r="D377" s="13"/>
      <c r="F377" s="13"/>
      <c r="G377" s="13"/>
      <c r="H377" s="20"/>
    </row>
    <row r="378">
      <c r="D378" s="13"/>
      <c r="F378" s="13"/>
      <c r="G378" s="13"/>
      <c r="H378" s="20"/>
    </row>
    <row r="379">
      <c r="D379" s="13"/>
      <c r="F379" s="13"/>
      <c r="G379" s="13"/>
      <c r="H379" s="20"/>
    </row>
    <row r="380">
      <c r="D380" s="13"/>
      <c r="F380" s="13"/>
      <c r="G380" s="13"/>
      <c r="H380" s="20"/>
    </row>
    <row r="381">
      <c r="D381" s="13"/>
      <c r="F381" s="13"/>
      <c r="G381" s="13"/>
      <c r="H381" s="20"/>
    </row>
    <row r="382">
      <c r="D382" s="13"/>
      <c r="F382" s="13"/>
      <c r="G382" s="13"/>
      <c r="H382" s="20"/>
    </row>
    <row r="383">
      <c r="D383" s="13"/>
      <c r="F383" s="13"/>
      <c r="G383" s="13"/>
      <c r="H383" s="20"/>
    </row>
    <row r="384">
      <c r="D384" s="13"/>
      <c r="F384" s="13"/>
      <c r="G384" s="13"/>
      <c r="H384" s="20"/>
    </row>
    <row r="385">
      <c r="D385" s="13"/>
      <c r="F385" s="13"/>
      <c r="G385" s="13"/>
      <c r="H385" s="20"/>
    </row>
    <row r="386">
      <c r="D386" s="13"/>
      <c r="F386" s="13"/>
      <c r="G386" s="13"/>
      <c r="H386" s="20"/>
    </row>
    <row r="387">
      <c r="D387" s="13"/>
      <c r="F387" s="13"/>
      <c r="G387" s="13"/>
      <c r="H387" s="20"/>
    </row>
    <row r="388">
      <c r="D388" s="13"/>
      <c r="F388" s="13"/>
      <c r="G388" s="13"/>
      <c r="H388" s="20"/>
    </row>
    <row r="389">
      <c r="D389" s="13"/>
      <c r="F389" s="13"/>
      <c r="G389" s="13"/>
      <c r="H389" s="20"/>
    </row>
    <row r="390">
      <c r="D390" s="13"/>
      <c r="F390" s="13"/>
      <c r="G390" s="13"/>
      <c r="H390" s="20"/>
    </row>
    <row r="391">
      <c r="D391" s="13"/>
      <c r="F391" s="13"/>
      <c r="G391" s="13"/>
      <c r="H391" s="20"/>
    </row>
    <row r="392">
      <c r="D392" s="13"/>
      <c r="F392" s="13"/>
      <c r="G392" s="13"/>
      <c r="H392" s="20"/>
    </row>
    <row r="393">
      <c r="D393" s="13"/>
      <c r="F393" s="13"/>
      <c r="G393" s="13"/>
      <c r="H393" s="20"/>
    </row>
    <row r="394">
      <c r="D394" s="13"/>
      <c r="F394" s="13"/>
      <c r="G394" s="13"/>
      <c r="H394" s="20"/>
    </row>
    <row r="395">
      <c r="D395" s="13"/>
      <c r="F395" s="13"/>
      <c r="G395" s="13"/>
      <c r="H395" s="20"/>
    </row>
    <row r="396">
      <c r="D396" s="13"/>
      <c r="F396" s="13"/>
      <c r="G396" s="13"/>
      <c r="H396" s="20"/>
    </row>
    <row r="397">
      <c r="D397" s="13"/>
      <c r="F397" s="13"/>
      <c r="G397" s="13"/>
      <c r="H397" s="20"/>
    </row>
    <row r="398">
      <c r="D398" s="13"/>
      <c r="F398" s="13"/>
      <c r="G398" s="13"/>
      <c r="H398" s="20"/>
    </row>
    <row r="399">
      <c r="D399" s="13"/>
      <c r="F399" s="13"/>
      <c r="G399" s="13"/>
      <c r="H399" s="20"/>
    </row>
    <row r="400">
      <c r="D400" s="13"/>
      <c r="F400" s="13"/>
      <c r="G400" s="13"/>
      <c r="H400" s="20"/>
    </row>
    <row r="401">
      <c r="D401" s="13"/>
      <c r="F401" s="13"/>
      <c r="G401" s="13"/>
      <c r="H401" s="20"/>
    </row>
    <row r="402">
      <c r="D402" s="13"/>
      <c r="F402" s="13"/>
      <c r="G402" s="13"/>
      <c r="H402" s="20"/>
    </row>
    <row r="403">
      <c r="D403" s="13"/>
      <c r="F403" s="13"/>
      <c r="G403" s="13"/>
      <c r="H403" s="20"/>
    </row>
    <row r="404">
      <c r="D404" s="13"/>
      <c r="F404" s="13"/>
      <c r="G404" s="13"/>
      <c r="H404" s="20"/>
    </row>
    <row r="405">
      <c r="D405" s="13"/>
      <c r="F405" s="13"/>
      <c r="G405" s="13"/>
      <c r="H405" s="20"/>
    </row>
    <row r="406">
      <c r="D406" s="13"/>
      <c r="F406" s="13"/>
      <c r="G406" s="13"/>
      <c r="H406" s="20"/>
    </row>
    <row r="407">
      <c r="D407" s="13"/>
      <c r="F407" s="13"/>
      <c r="G407" s="13"/>
      <c r="H407" s="20"/>
    </row>
    <row r="408">
      <c r="D408" s="13"/>
      <c r="F408" s="13"/>
      <c r="G408" s="13"/>
      <c r="H408" s="20"/>
    </row>
    <row r="409">
      <c r="D409" s="13"/>
      <c r="F409" s="13"/>
      <c r="G409" s="13"/>
      <c r="H409" s="20"/>
    </row>
    <row r="410">
      <c r="D410" s="13"/>
      <c r="F410" s="13"/>
      <c r="G410" s="13"/>
      <c r="H410" s="20"/>
    </row>
    <row r="411">
      <c r="D411" s="13"/>
      <c r="F411" s="13"/>
      <c r="G411" s="13"/>
      <c r="H411" s="20"/>
    </row>
    <row r="412">
      <c r="D412" s="13"/>
      <c r="F412" s="13"/>
      <c r="G412" s="13"/>
      <c r="H412" s="20"/>
    </row>
    <row r="413">
      <c r="D413" s="13"/>
      <c r="F413" s="13"/>
      <c r="G413" s="13"/>
      <c r="H413" s="20"/>
    </row>
    <row r="414">
      <c r="D414" s="13"/>
      <c r="F414" s="13"/>
      <c r="G414" s="13"/>
      <c r="H414" s="20"/>
    </row>
    <row r="415">
      <c r="D415" s="13"/>
      <c r="F415" s="13"/>
      <c r="G415" s="13"/>
      <c r="H415" s="20"/>
    </row>
    <row r="416">
      <c r="D416" s="13"/>
      <c r="F416" s="13"/>
      <c r="G416" s="13"/>
      <c r="H416" s="20"/>
    </row>
    <row r="417">
      <c r="D417" s="13"/>
      <c r="F417" s="13"/>
      <c r="G417" s="13"/>
      <c r="H417" s="20"/>
    </row>
    <row r="418">
      <c r="D418" s="13"/>
      <c r="F418" s="13"/>
      <c r="G418" s="13"/>
      <c r="H418" s="20"/>
    </row>
    <row r="419">
      <c r="D419" s="13"/>
      <c r="F419" s="13"/>
      <c r="G419" s="13"/>
      <c r="H419" s="20"/>
    </row>
    <row r="420">
      <c r="D420" s="13"/>
      <c r="F420" s="13"/>
      <c r="G420" s="13"/>
      <c r="H420" s="20"/>
    </row>
    <row r="421">
      <c r="D421" s="13"/>
      <c r="F421" s="13"/>
      <c r="G421" s="13"/>
      <c r="H421" s="20"/>
    </row>
    <row r="422">
      <c r="D422" s="13"/>
      <c r="F422" s="13"/>
      <c r="G422" s="13"/>
      <c r="H422" s="20"/>
    </row>
    <row r="423">
      <c r="D423" s="13"/>
      <c r="F423" s="13"/>
      <c r="G423" s="13"/>
      <c r="H423" s="20"/>
    </row>
    <row r="424">
      <c r="D424" s="13"/>
      <c r="F424" s="13"/>
      <c r="G424" s="13"/>
      <c r="H424" s="20"/>
    </row>
    <row r="425">
      <c r="D425" s="13"/>
      <c r="F425" s="13"/>
      <c r="G425" s="13"/>
      <c r="H425" s="20"/>
    </row>
    <row r="426">
      <c r="D426" s="13"/>
      <c r="F426" s="13"/>
      <c r="G426" s="13"/>
      <c r="H426" s="20"/>
    </row>
    <row r="427">
      <c r="D427" s="13"/>
      <c r="F427" s="13"/>
      <c r="G427" s="13"/>
      <c r="H427" s="20"/>
    </row>
    <row r="428">
      <c r="D428" s="13"/>
      <c r="F428" s="13"/>
      <c r="G428" s="13"/>
      <c r="H428" s="20"/>
    </row>
    <row r="429">
      <c r="D429" s="13"/>
      <c r="F429" s="13"/>
      <c r="G429" s="13"/>
      <c r="H429" s="20"/>
    </row>
    <row r="430">
      <c r="D430" s="13"/>
      <c r="F430" s="13"/>
      <c r="G430" s="13"/>
      <c r="H430" s="20"/>
    </row>
    <row r="431">
      <c r="D431" s="13"/>
      <c r="F431" s="13"/>
      <c r="G431" s="13"/>
      <c r="H431" s="20"/>
    </row>
    <row r="432">
      <c r="D432" s="13"/>
      <c r="F432" s="13"/>
      <c r="G432" s="13"/>
      <c r="H432" s="20"/>
    </row>
    <row r="433">
      <c r="D433" s="13"/>
      <c r="F433" s="13"/>
      <c r="G433" s="13"/>
      <c r="H433" s="20"/>
    </row>
    <row r="434">
      <c r="D434" s="13"/>
      <c r="F434" s="13"/>
      <c r="G434" s="13"/>
      <c r="H434" s="20"/>
    </row>
    <row r="435">
      <c r="D435" s="13"/>
      <c r="F435" s="13"/>
      <c r="G435" s="13"/>
      <c r="H435" s="20"/>
    </row>
    <row r="436">
      <c r="D436" s="13"/>
      <c r="F436" s="13"/>
      <c r="G436" s="13"/>
      <c r="H436" s="20"/>
    </row>
    <row r="437">
      <c r="D437" s="13"/>
      <c r="F437" s="13"/>
      <c r="G437" s="13"/>
      <c r="H437" s="20"/>
    </row>
    <row r="438">
      <c r="D438" s="13"/>
      <c r="F438" s="13"/>
      <c r="G438" s="13"/>
      <c r="H438" s="20"/>
    </row>
    <row r="439">
      <c r="D439" s="13"/>
      <c r="F439" s="13"/>
      <c r="G439" s="13"/>
      <c r="H439" s="20"/>
    </row>
    <row r="440">
      <c r="D440" s="13"/>
      <c r="F440" s="13"/>
      <c r="G440" s="13"/>
      <c r="H440" s="20"/>
    </row>
    <row r="441">
      <c r="D441" s="13"/>
      <c r="F441" s="13"/>
      <c r="G441" s="13"/>
      <c r="H441" s="20"/>
    </row>
    <row r="442">
      <c r="D442" s="13"/>
      <c r="F442" s="13"/>
      <c r="G442" s="13"/>
      <c r="H442" s="20"/>
    </row>
    <row r="443">
      <c r="D443" s="13"/>
      <c r="F443" s="13"/>
      <c r="G443" s="13"/>
      <c r="H443" s="20"/>
    </row>
    <row r="444">
      <c r="D444" s="13"/>
      <c r="F444" s="13"/>
      <c r="G444" s="13"/>
      <c r="H444" s="20"/>
    </row>
    <row r="445">
      <c r="D445" s="13"/>
      <c r="F445" s="13"/>
      <c r="G445" s="13"/>
      <c r="H445" s="20"/>
    </row>
    <row r="446">
      <c r="D446" s="13"/>
      <c r="F446" s="13"/>
      <c r="G446" s="13"/>
      <c r="H446" s="20"/>
    </row>
    <row r="447">
      <c r="D447" s="13"/>
      <c r="F447" s="13"/>
      <c r="G447" s="13"/>
      <c r="H447" s="20"/>
    </row>
    <row r="448">
      <c r="D448" s="13"/>
      <c r="F448" s="13"/>
      <c r="G448" s="13"/>
      <c r="H448" s="20"/>
    </row>
    <row r="449">
      <c r="D449" s="13"/>
      <c r="F449" s="13"/>
      <c r="G449" s="13"/>
      <c r="H449" s="20"/>
    </row>
    <row r="450">
      <c r="D450" s="13"/>
      <c r="F450" s="13"/>
      <c r="G450" s="13"/>
      <c r="H450" s="20"/>
    </row>
    <row r="451">
      <c r="D451" s="13"/>
      <c r="F451" s="13"/>
      <c r="G451" s="13"/>
      <c r="H451" s="20"/>
    </row>
    <row r="452">
      <c r="D452" s="13"/>
      <c r="F452" s="13"/>
      <c r="G452" s="13"/>
      <c r="H452" s="20"/>
    </row>
    <row r="453">
      <c r="D453" s="13"/>
      <c r="F453" s="13"/>
      <c r="G453" s="13"/>
      <c r="H453" s="20"/>
    </row>
    <row r="454">
      <c r="D454" s="13"/>
      <c r="F454" s="13"/>
      <c r="G454" s="13"/>
      <c r="H454" s="20"/>
    </row>
    <row r="455">
      <c r="D455" s="13"/>
      <c r="F455" s="13"/>
      <c r="G455" s="13"/>
      <c r="H455" s="20"/>
    </row>
    <row r="456">
      <c r="D456" s="13"/>
      <c r="F456" s="13"/>
      <c r="G456" s="13"/>
      <c r="H456" s="20"/>
    </row>
    <row r="457">
      <c r="D457" s="13"/>
      <c r="F457" s="13"/>
      <c r="G457" s="13"/>
      <c r="H457" s="20"/>
    </row>
    <row r="458">
      <c r="D458" s="13"/>
      <c r="F458" s="13"/>
      <c r="G458" s="13"/>
      <c r="H458" s="20"/>
    </row>
    <row r="459">
      <c r="D459" s="13"/>
      <c r="F459" s="13"/>
      <c r="G459" s="13"/>
      <c r="H459" s="20"/>
    </row>
    <row r="460">
      <c r="D460" s="13"/>
      <c r="F460" s="13"/>
      <c r="G460" s="13"/>
      <c r="H460" s="20"/>
    </row>
    <row r="461">
      <c r="D461" s="13"/>
      <c r="F461" s="13"/>
      <c r="G461" s="13"/>
      <c r="H461" s="20"/>
    </row>
    <row r="462">
      <c r="D462" s="13"/>
      <c r="F462" s="13"/>
      <c r="G462" s="13"/>
      <c r="H462" s="20"/>
    </row>
    <row r="463">
      <c r="D463" s="13"/>
      <c r="F463" s="13"/>
      <c r="G463" s="13"/>
      <c r="H463" s="20"/>
    </row>
    <row r="464">
      <c r="D464" s="13"/>
      <c r="F464" s="13"/>
      <c r="G464" s="13"/>
      <c r="H464" s="20"/>
    </row>
    <row r="465">
      <c r="D465" s="13"/>
      <c r="F465" s="13"/>
      <c r="G465" s="13"/>
      <c r="H465" s="20"/>
    </row>
    <row r="466">
      <c r="D466" s="13"/>
      <c r="F466" s="13"/>
      <c r="G466" s="13"/>
      <c r="H466" s="20"/>
    </row>
    <row r="467">
      <c r="D467" s="13"/>
      <c r="F467" s="13"/>
      <c r="G467" s="13"/>
      <c r="H467" s="20"/>
    </row>
    <row r="468">
      <c r="D468" s="13"/>
      <c r="F468" s="13"/>
      <c r="G468" s="13"/>
      <c r="H468" s="20"/>
    </row>
    <row r="469">
      <c r="D469" s="13"/>
      <c r="F469" s="13"/>
      <c r="G469" s="13"/>
      <c r="H469" s="20"/>
    </row>
    <row r="470">
      <c r="D470" s="13"/>
      <c r="F470" s="13"/>
      <c r="G470" s="13"/>
      <c r="H470" s="20"/>
    </row>
    <row r="471">
      <c r="D471" s="13"/>
      <c r="F471" s="13"/>
      <c r="G471" s="13"/>
      <c r="H471" s="20"/>
    </row>
    <row r="472">
      <c r="D472" s="13"/>
      <c r="F472" s="13"/>
      <c r="G472" s="13"/>
      <c r="H472" s="20"/>
    </row>
    <row r="473">
      <c r="D473" s="13"/>
      <c r="F473" s="13"/>
      <c r="G473" s="13"/>
      <c r="H473" s="20"/>
    </row>
    <row r="474">
      <c r="D474" s="13"/>
      <c r="F474" s="13"/>
      <c r="G474" s="13"/>
      <c r="H474" s="20"/>
    </row>
    <row r="475">
      <c r="D475" s="13"/>
      <c r="F475" s="13"/>
      <c r="G475" s="13"/>
      <c r="H475" s="20"/>
    </row>
    <row r="476">
      <c r="D476" s="13"/>
      <c r="F476" s="13"/>
      <c r="G476" s="13"/>
      <c r="H476" s="20"/>
    </row>
    <row r="477">
      <c r="D477" s="13"/>
      <c r="F477" s="13"/>
      <c r="G477" s="13"/>
      <c r="H477" s="20"/>
    </row>
    <row r="478">
      <c r="D478" s="13"/>
      <c r="F478" s="13"/>
      <c r="G478" s="13"/>
      <c r="H478" s="20"/>
    </row>
    <row r="479">
      <c r="D479" s="13"/>
      <c r="F479" s="13"/>
      <c r="G479" s="13"/>
      <c r="H479" s="20"/>
    </row>
    <row r="480">
      <c r="D480" s="13"/>
      <c r="F480" s="13"/>
      <c r="G480" s="13"/>
      <c r="H480" s="20"/>
    </row>
    <row r="481">
      <c r="D481" s="13"/>
      <c r="F481" s="13"/>
      <c r="G481" s="13"/>
      <c r="H481" s="20"/>
    </row>
    <row r="482">
      <c r="D482" s="13"/>
      <c r="F482" s="13"/>
      <c r="G482" s="13"/>
      <c r="H482" s="20"/>
    </row>
    <row r="483">
      <c r="D483" s="13"/>
      <c r="F483" s="13"/>
      <c r="G483" s="13"/>
      <c r="H483" s="20"/>
    </row>
    <row r="484">
      <c r="D484" s="13"/>
      <c r="F484" s="13"/>
      <c r="G484" s="13"/>
      <c r="H484" s="20"/>
    </row>
    <row r="485">
      <c r="D485" s="13"/>
      <c r="F485" s="13"/>
      <c r="G485" s="13"/>
      <c r="H485" s="20"/>
    </row>
    <row r="486">
      <c r="D486" s="13"/>
      <c r="F486" s="13"/>
      <c r="G486" s="13"/>
      <c r="H486" s="20"/>
    </row>
    <row r="487">
      <c r="D487" s="13"/>
      <c r="F487" s="13"/>
      <c r="G487" s="13"/>
      <c r="H487" s="20"/>
    </row>
    <row r="488">
      <c r="D488" s="13"/>
      <c r="F488" s="13"/>
      <c r="G488" s="13"/>
      <c r="H488" s="20"/>
    </row>
    <row r="489">
      <c r="D489" s="13"/>
      <c r="F489" s="13"/>
      <c r="G489" s="13"/>
      <c r="H489" s="20"/>
    </row>
    <row r="490">
      <c r="D490" s="13"/>
      <c r="F490" s="13"/>
      <c r="G490" s="13"/>
      <c r="H490" s="20"/>
    </row>
    <row r="491">
      <c r="D491" s="13"/>
      <c r="F491" s="13"/>
      <c r="G491" s="13"/>
      <c r="H491" s="20"/>
    </row>
    <row r="492">
      <c r="D492" s="13"/>
      <c r="F492" s="13"/>
      <c r="G492" s="13"/>
      <c r="H492" s="20"/>
    </row>
    <row r="493">
      <c r="D493" s="13"/>
      <c r="F493" s="13"/>
      <c r="G493" s="13"/>
      <c r="H493" s="20"/>
    </row>
    <row r="494">
      <c r="D494" s="13"/>
      <c r="F494" s="13"/>
      <c r="G494" s="13"/>
      <c r="H494" s="20"/>
    </row>
    <row r="495">
      <c r="D495" s="13"/>
      <c r="F495" s="13"/>
      <c r="G495" s="13"/>
      <c r="H495" s="20"/>
    </row>
    <row r="496">
      <c r="D496" s="13"/>
      <c r="F496" s="13"/>
      <c r="G496" s="13"/>
      <c r="H496" s="20"/>
    </row>
    <row r="497">
      <c r="D497" s="13"/>
      <c r="F497" s="13"/>
      <c r="G497" s="13"/>
      <c r="H497" s="20"/>
    </row>
    <row r="498">
      <c r="D498" s="13"/>
      <c r="F498" s="13"/>
      <c r="G498" s="13"/>
      <c r="H498" s="20"/>
    </row>
    <row r="499">
      <c r="D499" s="13"/>
      <c r="F499" s="13"/>
      <c r="G499" s="13"/>
      <c r="H499" s="20"/>
    </row>
    <row r="500">
      <c r="D500" s="13"/>
      <c r="F500" s="13"/>
      <c r="G500" s="13"/>
      <c r="H500" s="20"/>
    </row>
    <row r="501">
      <c r="D501" s="13"/>
      <c r="F501" s="13"/>
      <c r="G501" s="13"/>
      <c r="H501" s="20"/>
    </row>
    <row r="502">
      <c r="D502" s="13"/>
      <c r="F502" s="13"/>
      <c r="G502" s="13"/>
      <c r="H502" s="20"/>
    </row>
    <row r="503">
      <c r="D503" s="13"/>
      <c r="F503" s="13"/>
      <c r="G503" s="13"/>
      <c r="H503" s="20"/>
    </row>
    <row r="504">
      <c r="D504" s="13"/>
      <c r="F504" s="13"/>
      <c r="G504" s="13"/>
      <c r="H504" s="20"/>
    </row>
    <row r="505">
      <c r="D505" s="13"/>
      <c r="F505" s="13"/>
      <c r="G505" s="13"/>
      <c r="H505" s="20"/>
    </row>
    <row r="506">
      <c r="D506" s="13"/>
      <c r="F506" s="13"/>
      <c r="G506" s="13"/>
      <c r="H506" s="20"/>
    </row>
    <row r="507">
      <c r="D507" s="13"/>
      <c r="F507" s="13"/>
      <c r="G507" s="13"/>
      <c r="H507" s="20"/>
    </row>
    <row r="508">
      <c r="D508" s="13"/>
      <c r="F508" s="13"/>
      <c r="G508" s="13"/>
      <c r="H508" s="20"/>
    </row>
    <row r="509">
      <c r="D509" s="13"/>
      <c r="F509" s="13"/>
      <c r="G509" s="13"/>
      <c r="H509" s="20"/>
    </row>
    <row r="510">
      <c r="D510" s="13"/>
      <c r="F510" s="13"/>
      <c r="G510" s="13"/>
      <c r="H510" s="20"/>
    </row>
    <row r="511">
      <c r="D511" s="13"/>
      <c r="F511" s="13"/>
      <c r="G511" s="13"/>
      <c r="H511" s="20"/>
    </row>
    <row r="512">
      <c r="D512" s="13"/>
      <c r="F512" s="13"/>
      <c r="G512" s="13"/>
      <c r="H512" s="20"/>
    </row>
    <row r="513">
      <c r="D513" s="13"/>
      <c r="F513" s="13"/>
      <c r="G513" s="13"/>
      <c r="H513" s="20"/>
    </row>
    <row r="514">
      <c r="D514" s="13"/>
      <c r="F514" s="13"/>
      <c r="G514" s="13"/>
      <c r="H514" s="20"/>
    </row>
    <row r="515">
      <c r="D515" s="13"/>
      <c r="F515" s="13"/>
      <c r="G515" s="13"/>
      <c r="H515" s="20"/>
    </row>
    <row r="516">
      <c r="D516" s="13"/>
      <c r="F516" s="13"/>
      <c r="G516" s="13"/>
      <c r="H516" s="20"/>
    </row>
    <row r="517">
      <c r="D517" s="13"/>
      <c r="F517" s="13"/>
      <c r="G517" s="13"/>
      <c r="H517" s="20"/>
    </row>
    <row r="518">
      <c r="D518" s="13"/>
      <c r="F518" s="13"/>
      <c r="G518" s="13"/>
      <c r="H518" s="20"/>
    </row>
    <row r="519">
      <c r="D519" s="13"/>
      <c r="F519" s="13"/>
      <c r="G519" s="13"/>
      <c r="H519" s="20"/>
    </row>
    <row r="520">
      <c r="D520" s="13"/>
      <c r="F520" s="13"/>
      <c r="G520" s="13"/>
      <c r="H520" s="20"/>
    </row>
    <row r="521">
      <c r="D521" s="13"/>
      <c r="F521" s="13"/>
      <c r="G521" s="13"/>
      <c r="H521" s="20"/>
    </row>
    <row r="522">
      <c r="D522" s="13"/>
      <c r="F522" s="13"/>
      <c r="G522" s="13"/>
      <c r="H522" s="20"/>
    </row>
    <row r="523">
      <c r="D523" s="13"/>
      <c r="F523" s="13"/>
      <c r="G523" s="13"/>
      <c r="H523" s="20"/>
    </row>
    <row r="524">
      <c r="D524" s="13"/>
      <c r="F524" s="13"/>
      <c r="G524" s="13"/>
      <c r="H524" s="20"/>
    </row>
    <row r="525">
      <c r="D525" s="13"/>
      <c r="F525" s="13"/>
      <c r="G525" s="13"/>
      <c r="H525" s="20"/>
    </row>
    <row r="526">
      <c r="D526" s="13"/>
      <c r="F526" s="13"/>
      <c r="G526" s="13"/>
      <c r="H526" s="20"/>
    </row>
    <row r="527">
      <c r="D527" s="13"/>
      <c r="F527" s="13"/>
      <c r="G527" s="13"/>
      <c r="H527" s="20"/>
    </row>
    <row r="528">
      <c r="D528" s="13"/>
      <c r="F528" s="13"/>
      <c r="G528" s="13"/>
      <c r="H528" s="20"/>
    </row>
    <row r="529">
      <c r="D529" s="13"/>
      <c r="F529" s="13"/>
      <c r="G529" s="13"/>
      <c r="H529" s="20"/>
    </row>
    <row r="530">
      <c r="D530" s="13"/>
      <c r="F530" s="13"/>
      <c r="G530" s="13"/>
      <c r="H530" s="20"/>
    </row>
    <row r="531">
      <c r="D531" s="13"/>
      <c r="F531" s="13"/>
      <c r="G531" s="13"/>
      <c r="H531" s="20"/>
    </row>
    <row r="532">
      <c r="D532" s="13"/>
      <c r="F532" s="13"/>
      <c r="G532" s="13"/>
      <c r="H532" s="20"/>
    </row>
    <row r="533">
      <c r="D533" s="13"/>
      <c r="F533" s="13"/>
      <c r="G533" s="13"/>
      <c r="H533" s="20"/>
    </row>
    <row r="534">
      <c r="D534" s="13"/>
      <c r="F534" s="13"/>
      <c r="G534" s="13"/>
      <c r="H534" s="20"/>
    </row>
    <row r="535">
      <c r="D535" s="13"/>
      <c r="F535" s="13"/>
      <c r="G535" s="13"/>
      <c r="H535" s="20"/>
    </row>
    <row r="536">
      <c r="D536" s="13"/>
      <c r="F536" s="13"/>
      <c r="G536" s="13"/>
      <c r="H536" s="20"/>
    </row>
    <row r="537">
      <c r="D537" s="13"/>
      <c r="F537" s="13"/>
      <c r="G537" s="13"/>
      <c r="H537" s="20"/>
    </row>
    <row r="538">
      <c r="D538" s="13"/>
      <c r="F538" s="13"/>
      <c r="G538" s="13"/>
      <c r="H538" s="20"/>
    </row>
    <row r="539">
      <c r="D539" s="13"/>
      <c r="F539" s="13"/>
      <c r="G539" s="13"/>
      <c r="H539" s="20"/>
    </row>
    <row r="540">
      <c r="D540" s="13"/>
      <c r="F540" s="13"/>
      <c r="G540" s="13"/>
      <c r="H540" s="20"/>
    </row>
    <row r="541">
      <c r="D541" s="13"/>
      <c r="F541" s="13"/>
      <c r="G541" s="13"/>
      <c r="H541" s="20"/>
    </row>
    <row r="542">
      <c r="D542" s="13"/>
      <c r="F542" s="13"/>
      <c r="G542" s="13"/>
      <c r="H542" s="20"/>
    </row>
    <row r="543">
      <c r="D543" s="13"/>
      <c r="F543" s="13"/>
      <c r="G543" s="13"/>
      <c r="H543" s="20"/>
    </row>
    <row r="544">
      <c r="D544" s="13"/>
      <c r="F544" s="13"/>
      <c r="G544" s="13"/>
      <c r="H544" s="20"/>
    </row>
    <row r="545">
      <c r="D545" s="13"/>
      <c r="F545" s="13"/>
      <c r="G545" s="13"/>
      <c r="H545" s="20"/>
    </row>
    <row r="546">
      <c r="D546" s="13"/>
      <c r="F546" s="13"/>
      <c r="G546" s="13"/>
      <c r="H546" s="20"/>
    </row>
    <row r="547">
      <c r="D547" s="13"/>
      <c r="F547" s="13"/>
      <c r="G547" s="13"/>
      <c r="H547" s="20"/>
    </row>
    <row r="548">
      <c r="D548" s="13"/>
      <c r="F548" s="13"/>
      <c r="G548" s="13"/>
      <c r="H548" s="20"/>
    </row>
    <row r="549">
      <c r="D549" s="13"/>
      <c r="F549" s="13"/>
      <c r="G549" s="13"/>
      <c r="H549" s="20"/>
    </row>
    <row r="550">
      <c r="D550" s="13"/>
      <c r="F550" s="13"/>
      <c r="G550" s="13"/>
      <c r="H550" s="20"/>
    </row>
    <row r="551">
      <c r="D551" s="13"/>
      <c r="F551" s="13"/>
      <c r="G551" s="13"/>
      <c r="H551" s="20"/>
    </row>
    <row r="552">
      <c r="D552" s="13"/>
      <c r="F552" s="13"/>
      <c r="G552" s="13"/>
      <c r="H552" s="20"/>
    </row>
    <row r="553">
      <c r="D553" s="13"/>
      <c r="F553" s="13"/>
      <c r="G553" s="13"/>
      <c r="H553" s="20"/>
    </row>
    <row r="554">
      <c r="D554" s="13"/>
      <c r="F554" s="13"/>
      <c r="G554" s="13"/>
      <c r="H554" s="20"/>
    </row>
    <row r="555">
      <c r="D555" s="13"/>
      <c r="F555" s="13"/>
      <c r="G555" s="13"/>
      <c r="H555" s="20"/>
    </row>
    <row r="556">
      <c r="D556" s="13"/>
      <c r="F556" s="13"/>
      <c r="G556" s="13"/>
      <c r="H556" s="20"/>
    </row>
    <row r="557">
      <c r="D557" s="13"/>
      <c r="F557" s="13"/>
      <c r="G557" s="13"/>
      <c r="H557" s="20"/>
    </row>
    <row r="558">
      <c r="D558" s="13"/>
      <c r="F558" s="13"/>
      <c r="G558" s="13"/>
      <c r="H558" s="20"/>
    </row>
    <row r="559">
      <c r="D559" s="13"/>
      <c r="F559" s="13"/>
      <c r="G559" s="13"/>
      <c r="H559" s="20"/>
    </row>
    <row r="560">
      <c r="D560" s="13"/>
      <c r="F560" s="13"/>
      <c r="G560" s="13"/>
      <c r="H560" s="20"/>
    </row>
    <row r="561">
      <c r="D561" s="13"/>
      <c r="F561" s="13"/>
      <c r="G561" s="13"/>
      <c r="H561" s="20"/>
    </row>
    <row r="562">
      <c r="D562" s="13"/>
      <c r="F562" s="13"/>
      <c r="G562" s="13"/>
      <c r="H562" s="20"/>
    </row>
    <row r="563">
      <c r="D563" s="13"/>
      <c r="F563" s="13"/>
      <c r="G563" s="13"/>
      <c r="H563" s="20"/>
    </row>
    <row r="564">
      <c r="D564" s="13"/>
      <c r="F564" s="13"/>
      <c r="G564" s="13"/>
      <c r="H564" s="20"/>
    </row>
    <row r="565">
      <c r="D565" s="13"/>
      <c r="F565" s="13"/>
      <c r="G565" s="13"/>
      <c r="H565" s="20"/>
    </row>
    <row r="566">
      <c r="D566" s="13"/>
      <c r="F566" s="13"/>
      <c r="G566" s="13"/>
      <c r="H566" s="20"/>
    </row>
    <row r="567">
      <c r="D567" s="13"/>
      <c r="F567" s="13"/>
      <c r="G567" s="13"/>
      <c r="H567" s="20"/>
    </row>
    <row r="568">
      <c r="D568" s="13"/>
      <c r="F568" s="13"/>
      <c r="G568" s="13"/>
      <c r="H568" s="20"/>
    </row>
    <row r="569">
      <c r="D569" s="13"/>
      <c r="F569" s="13"/>
      <c r="G569" s="13"/>
      <c r="H569" s="20"/>
    </row>
    <row r="570">
      <c r="D570" s="13"/>
      <c r="F570" s="13"/>
      <c r="G570" s="13"/>
      <c r="H570" s="20"/>
    </row>
    <row r="571">
      <c r="D571" s="13"/>
      <c r="F571" s="13"/>
      <c r="G571" s="13"/>
      <c r="H571" s="20"/>
    </row>
    <row r="572">
      <c r="D572" s="13"/>
      <c r="F572" s="13"/>
      <c r="G572" s="13"/>
      <c r="H572" s="20"/>
    </row>
    <row r="573">
      <c r="D573" s="13"/>
      <c r="F573" s="13"/>
      <c r="G573" s="13"/>
      <c r="H573" s="20"/>
    </row>
    <row r="574">
      <c r="D574" s="13"/>
      <c r="F574" s="13"/>
      <c r="G574" s="13"/>
      <c r="H574" s="20"/>
    </row>
    <row r="575">
      <c r="D575" s="13"/>
      <c r="F575" s="13"/>
      <c r="G575" s="13"/>
      <c r="H575" s="20"/>
    </row>
    <row r="576">
      <c r="D576" s="13"/>
      <c r="F576" s="13"/>
      <c r="G576" s="13"/>
      <c r="H576" s="20"/>
    </row>
    <row r="577">
      <c r="D577" s="13"/>
      <c r="F577" s="13"/>
      <c r="G577" s="13"/>
      <c r="H577" s="20"/>
    </row>
    <row r="578">
      <c r="D578" s="13"/>
      <c r="F578" s="13"/>
      <c r="G578" s="13"/>
      <c r="H578" s="20"/>
    </row>
    <row r="579">
      <c r="D579" s="13"/>
      <c r="F579" s="13"/>
      <c r="G579" s="13"/>
      <c r="H579" s="20"/>
    </row>
    <row r="580">
      <c r="D580" s="13"/>
      <c r="F580" s="13"/>
      <c r="G580" s="13"/>
      <c r="H580" s="20"/>
    </row>
    <row r="581">
      <c r="D581" s="13"/>
      <c r="F581" s="13"/>
      <c r="G581" s="13"/>
      <c r="H581" s="20"/>
    </row>
    <row r="582">
      <c r="D582" s="13"/>
      <c r="F582" s="13"/>
      <c r="G582" s="13"/>
      <c r="H582" s="20"/>
    </row>
    <row r="583">
      <c r="D583" s="13"/>
      <c r="F583" s="13"/>
      <c r="G583" s="13"/>
      <c r="H583" s="20"/>
    </row>
    <row r="584">
      <c r="D584" s="13"/>
      <c r="F584" s="13"/>
      <c r="G584" s="13"/>
      <c r="H584" s="20"/>
    </row>
    <row r="585">
      <c r="D585" s="13"/>
      <c r="F585" s="13"/>
      <c r="G585" s="13"/>
      <c r="H585" s="20"/>
    </row>
    <row r="586">
      <c r="D586" s="13"/>
      <c r="F586" s="13"/>
      <c r="G586" s="13"/>
      <c r="H586" s="20"/>
    </row>
    <row r="587">
      <c r="D587" s="13"/>
      <c r="F587" s="13"/>
      <c r="G587" s="13"/>
      <c r="H587" s="20"/>
    </row>
    <row r="588">
      <c r="D588" s="13"/>
      <c r="F588" s="13"/>
      <c r="G588" s="13"/>
      <c r="H588" s="20"/>
    </row>
    <row r="589">
      <c r="D589" s="13"/>
      <c r="F589" s="13"/>
      <c r="G589" s="13"/>
      <c r="H589" s="20"/>
    </row>
    <row r="590">
      <c r="D590" s="13"/>
      <c r="F590" s="13"/>
      <c r="G590" s="13"/>
      <c r="H590" s="20"/>
    </row>
    <row r="591">
      <c r="D591" s="13"/>
      <c r="F591" s="13"/>
      <c r="G591" s="13"/>
      <c r="H591" s="20"/>
    </row>
    <row r="592">
      <c r="D592" s="13"/>
      <c r="F592" s="13"/>
      <c r="G592" s="13"/>
      <c r="H592" s="20"/>
    </row>
    <row r="593">
      <c r="D593" s="13"/>
      <c r="F593" s="13"/>
      <c r="G593" s="13"/>
      <c r="H593" s="20"/>
    </row>
    <row r="594">
      <c r="D594" s="13"/>
      <c r="F594" s="13"/>
      <c r="G594" s="13"/>
      <c r="H594" s="20"/>
    </row>
    <row r="595">
      <c r="D595" s="13"/>
      <c r="F595" s="13"/>
      <c r="G595" s="13"/>
      <c r="H595" s="20"/>
    </row>
    <row r="596">
      <c r="D596" s="13"/>
      <c r="F596" s="13"/>
      <c r="G596" s="13"/>
      <c r="H596" s="20"/>
    </row>
    <row r="597">
      <c r="D597" s="13"/>
      <c r="F597" s="13"/>
      <c r="G597" s="13"/>
      <c r="H597" s="20"/>
    </row>
    <row r="598">
      <c r="D598" s="13"/>
      <c r="F598" s="13"/>
      <c r="G598" s="13"/>
      <c r="H598" s="20"/>
    </row>
    <row r="599">
      <c r="D599" s="13"/>
      <c r="F599" s="13"/>
      <c r="G599" s="13"/>
      <c r="H599" s="20"/>
    </row>
    <row r="600">
      <c r="D600" s="13"/>
      <c r="F600" s="13"/>
      <c r="G600" s="13"/>
      <c r="H600" s="20"/>
    </row>
    <row r="601">
      <c r="D601" s="13"/>
      <c r="F601" s="13"/>
      <c r="G601" s="13"/>
      <c r="H601" s="20"/>
    </row>
    <row r="602">
      <c r="D602" s="13"/>
      <c r="F602" s="13"/>
      <c r="G602" s="13"/>
      <c r="H602" s="20"/>
    </row>
    <row r="603">
      <c r="D603" s="13"/>
      <c r="F603" s="13"/>
      <c r="G603" s="13"/>
      <c r="H603" s="20"/>
    </row>
    <row r="604">
      <c r="D604" s="13"/>
      <c r="F604" s="13"/>
      <c r="G604" s="13"/>
      <c r="H604" s="20"/>
    </row>
    <row r="605">
      <c r="D605" s="13"/>
      <c r="F605" s="13"/>
      <c r="G605" s="13"/>
      <c r="H605" s="20"/>
    </row>
    <row r="606">
      <c r="D606" s="13"/>
      <c r="F606" s="13"/>
      <c r="G606" s="13"/>
      <c r="H606" s="20"/>
    </row>
    <row r="607">
      <c r="D607" s="13"/>
      <c r="F607" s="13"/>
      <c r="G607" s="13"/>
      <c r="H607" s="20"/>
    </row>
    <row r="608">
      <c r="D608" s="13"/>
      <c r="F608" s="13"/>
      <c r="G608" s="13"/>
      <c r="H608" s="20"/>
    </row>
    <row r="609">
      <c r="D609" s="13"/>
      <c r="F609" s="13"/>
      <c r="G609" s="13"/>
      <c r="H609" s="20"/>
    </row>
    <row r="610">
      <c r="D610" s="13"/>
      <c r="F610" s="13"/>
      <c r="G610" s="13"/>
      <c r="H610" s="20"/>
    </row>
    <row r="611">
      <c r="D611" s="13"/>
      <c r="F611" s="13"/>
      <c r="G611" s="13"/>
      <c r="H611" s="20"/>
    </row>
    <row r="612">
      <c r="D612" s="13"/>
      <c r="F612" s="13"/>
      <c r="G612" s="13"/>
      <c r="H612" s="20"/>
    </row>
    <row r="613">
      <c r="D613" s="13"/>
      <c r="F613" s="13"/>
      <c r="G613" s="13"/>
      <c r="H613" s="20"/>
    </row>
    <row r="614">
      <c r="D614" s="13"/>
      <c r="F614" s="13"/>
      <c r="G614" s="13"/>
      <c r="H614" s="20"/>
    </row>
    <row r="615">
      <c r="D615" s="13"/>
      <c r="F615" s="13"/>
      <c r="G615" s="13"/>
      <c r="H615" s="20"/>
    </row>
    <row r="616">
      <c r="D616" s="13"/>
      <c r="F616" s="13"/>
      <c r="G616" s="13"/>
      <c r="H616" s="20"/>
    </row>
    <row r="617">
      <c r="D617" s="13"/>
      <c r="F617" s="13"/>
      <c r="G617" s="13"/>
      <c r="H617" s="20"/>
    </row>
    <row r="618">
      <c r="D618" s="13"/>
      <c r="F618" s="13"/>
      <c r="G618" s="13"/>
      <c r="H618" s="20"/>
    </row>
    <row r="619">
      <c r="D619" s="13"/>
      <c r="F619" s="13"/>
      <c r="G619" s="13"/>
      <c r="H619" s="20"/>
    </row>
    <row r="620">
      <c r="D620" s="13"/>
      <c r="F620" s="13"/>
      <c r="G620" s="13"/>
      <c r="H620" s="20"/>
    </row>
    <row r="621">
      <c r="D621" s="13"/>
      <c r="F621" s="13"/>
      <c r="G621" s="13"/>
      <c r="H621" s="20"/>
    </row>
    <row r="622">
      <c r="D622" s="13"/>
      <c r="F622" s="13"/>
      <c r="G622" s="13"/>
      <c r="H622" s="20"/>
    </row>
    <row r="623">
      <c r="D623" s="13"/>
      <c r="F623" s="13"/>
      <c r="G623" s="13"/>
      <c r="H623" s="20"/>
    </row>
    <row r="624">
      <c r="D624" s="13"/>
      <c r="F624" s="13"/>
      <c r="G624" s="13"/>
      <c r="H624" s="20"/>
    </row>
    <row r="625">
      <c r="D625" s="13"/>
      <c r="F625" s="13"/>
      <c r="G625" s="13"/>
      <c r="H625" s="20"/>
    </row>
    <row r="626">
      <c r="D626" s="13"/>
      <c r="F626" s="13"/>
      <c r="G626" s="13"/>
      <c r="H626" s="20"/>
    </row>
    <row r="627">
      <c r="D627" s="13"/>
      <c r="F627" s="13"/>
      <c r="G627" s="13"/>
      <c r="H627" s="20"/>
    </row>
    <row r="628">
      <c r="D628" s="13"/>
      <c r="F628" s="13"/>
      <c r="G628" s="13"/>
      <c r="H628" s="20"/>
    </row>
    <row r="629">
      <c r="D629" s="13"/>
      <c r="F629" s="13"/>
      <c r="G629" s="13"/>
      <c r="H629" s="20"/>
    </row>
    <row r="630">
      <c r="D630" s="13"/>
      <c r="F630" s="13"/>
      <c r="G630" s="13"/>
      <c r="H630" s="20"/>
    </row>
    <row r="631">
      <c r="D631" s="13"/>
      <c r="F631" s="13"/>
      <c r="G631" s="13"/>
      <c r="H631" s="20"/>
    </row>
    <row r="632">
      <c r="D632" s="13"/>
      <c r="F632" s="13"/>
      <c r="G632" s="13"/>
      <c r="H632" s="20"/>
    </row>
    <row r="633">
      <c r="D633" s="13"/>
      <c r="F633" s="13"/>
      <c r="G633" s="13"/>
      <c r="H633" s="20"/>
    </row>
    <row r="634">
      <c r="D634" s="13"/>
      <c r="F634" s="13"/>
      <c r="G634" s="13"/>
      <c r="H634" s="20"/>
    </row>
    <row r="635">
      <c r="D635" s="13"/>
      <c r="F635" s="13"/>
      <c r="G635" s="13"/>
      <c r="H635" s="20"/>
    </row>
    <row r="636">
      <c r="D636" s="13"/>
      <c r="F636" s="13"/>
      <c r="G636" s="13"/>
      <c r="H636" s="20"/>
    </row>
    <row r="637">
      <c r="D637" s="13"/>
      <c r="F637" s="13"/>
      <c r="G637" s="13"/>
      <c r="H637" s="20"/>
    </row>
    <row r="638">
      <c r="D638" s="13"/>
      <c r="F638" s="13"/>
      <c r="G638" s="13"/>
      <c r="H638" s="20"/>
    </row>
    <row r="639">
      <c r="D639" s="13"/>
      <c r="F639" s="13"/>
      <c r="G639" s="13"/>
      <c r="H639" s="20"/>
    </row>
    <row r="640">
      <c r="D640" s="13"/>
      <c r="F640" s="13"/>
      <c r="G640" s="13"/>
      <c r="H640" s="20"/>
    </row>
    <row r="641">
      <c r="D641" s="13"/>
      <c r="F641" s="13"/>
      <c r="G641" s="13"/>
      <c r="H641" s="20"/>
    </row>
    <row r="642">
      <c r="D642" s="13"/>
      <c r="F642" s="13"/>
      <c r="G642" s="13"/>
      <c r="H642" s="20"/>
    </row>
    <row r="643">
      <c r="D643" s="13"/>
      <c r="F643" s="13"/>
      <c r="G643" s="13"/>
      <c r="H643" s="20"/>
    </row>
    <row r="644">
      <c r="D644" s="13"/>
      <c r="F644" s="13"/>
      <c r="G644" s="13"/>
      <c r="H644" s="20"/>
    </row>
    <row r="645">
      <c r="D645" s="13"/>
      <c r="F645" s="13"/>
      <c r="G645" s="13"/>
      <c r="H645" s="20"/>
    </row>
    <row r="646">
      <c r="D646" s="13"/>
      <c r="F646" s="13"/>
      <c r="G646" s="13"/>
      <c r="H646" s="20"/>
    </row>
    <row r="647">
      <c r="D647" s="13"/>
      <c r="F647" s="13"/>
      <c r="G647" s="13"/>
      <c r="H647" s="20"/>
    </row>
    <row r="648">
      <c r="D648" s="13"/>
      <c r="F648" s="13"/>
      <c r="G648" s="13"/>
      <c r="H648" s="20"/>
    </row>
    <row r="649">
      <c r="D649" s="13"/>
      <c r="F649" s="13"/>
      <c r="G649" s="13"/>
      <c r="H649" s="20"/>
    </row>
    <row r="650">
      <c r="D650" s="13"/>
      <c r="F650" s="13"/>
      <c r="G650" s="13"/>
      <c r="H650" s="20"/>
    </row>
    <row r="651">
      <c r="D651" s="13"/>
      <c r="F651" s="13"/>
      <c r="G651" s="13"/>
      <c r="H651" s="20"/>
    </row>
    <row r="652">
      <c r="D652" s="13"/>
      <c r="F652" s="13"/>
      <c r="G652" s="13"/>
      <c r="H652" s="20"/>
    </row>
    <row r="653">
      <c r="D653" s="13"/>
      <c r="F653" s="13"/>
      <c r="G653" s="13"/>
      <c r="H653" s="20"/>
    </row>
    <row r="654">
      <c r="D654" s="13"/>
      <c r="F654" s="13"/>
      <c r="G654" s="13"/>
      <c r="H654" s="20"/>
    </row>
    <row r="655">
      <c r="D655" s="13"/>
      <c r="F655" s="13"/>
      <c r="G655" s="13"/>
      <c r="H655" s="20"/>
    </row>
    <row r="656">
      <c r="D656" s="13"/>
      <c r="F656" s="13"/>
      <c r="G656" s="13"/>
      <c r="H656" s="20"/>
    </row>
    <row r="657">
      <c r="D657" s="13"/>
      <c r="F657" s="13"/>
      <c r="G657" s="13"/>
      <c r="H657" s="20"/>
    </row>
    <row r="658">
      <c r="D658" s="13"/>
      <c r="F658" s="13"/>
      <c r="G658" s="13"/>
      <c r="H658" s="20"/>
    </row>
    <row r="659">
      <c r="D659" s="13"/>
      <c r="F659" s="13"/>
      <c r="G659" s="13"/>
      <c r="H659" s="20"/>
    </row>
    <row r="660">
      <c r="D660" s="13"/>
      <c r="F660" s="13"/>
      <c r="G660" s="13"/>
      <c r="H660" s="20"/>
    </row>
    <row r="661">
      <c r="D661" s="13"/>
      <c r="F661" s="13"/>
      <c r="G661" s="13"/>
      <c r="H661" s="20"/>
    </row>
    <row r="662">
      <c r="D662" s="13"/>
      <c r="F662" s="13"/>
      <c r="G662" s="13"/>
      <c r="H662" s="20"/>
    </row>
    <row r="663">
      <c r="D663" s="13"/>
      <c r="F663" s="13"/>
      <c r="G663" s="13"/>
      <c r="H663" s="20"/>
    </row>
    <row r="664">
      <c r="D664" s="13"/>
      <c r="F664" s="13"/>
      <c r="G664" s="13"/>
      <c r="H664" s="20"/>
    </row>
    <row r="665">
      <c r="D665" s="13"/>
      <c r="F665" s="13"/>
      <c r="G665" s="13"/>
      <c r="H665" s="20"/>
    </row>
    <row r="666">
      <c r="D666" s="13"/>
      <c r="F666" s="13"/>
      <c r="G666" s="13"/>
      <c r="H666" s="20"/>
    </row>
    <row r="667">
      <c r="D667" s="13"/>
      <c r="F667" s="13"/>
      <c r="G667" s="13"/>
      <c r="H667" s="20"/>
    </row>
    <row r="668">
      <c r="D668" s="13"/>
      <c r="F668" s="13"/>
      <c r="G668" s="13"/>
      <c r="H668" s="20"/>
    </row>
    <row r="669">
      <c r="D669" s="13"/>
      <c r="F669" s="13"/>
      <c r="G669" s="13"/>
      <c r="H669" s="20"/>
    </row>
    <row r="670">
      <c r="D670" s="13"/>
      <c r="F670" s="13"/>
      <c r="G670" s="13"/>
      <c r="H670" s="20"/>
    </row>
    <row r="671">
      <c r="D671" s="13"/>
      <c r="F671" s="13"/>
      <c r="G671" s="13"/>
      <c r="H671" s="20"/>
    </row>
    <row r="672">
      <c r="D672" s="13"/>
      <c r="F672" s="13"/>
      <c r="G672" s="13"/>
      <c r="H672" s="20"/>
    </row>
    <row r="673">
      <c r="D673" s="13"/>
      <c r="F673" s="13"/>
      <c r="G673" s="13"/>
      <c r="H673" s="20"/>
    </row>
    <row r="674">
      <c r="D674" s="13"/>
      <c r="F674" s="13"/>
      <c r="G674" s="13"/>
      <c r="H674" s="20"/>
    </row>
    <row r="675">
      <c r="D675" s="13"/>
      <c r="F675" s="13"/>
      <c r="G675" s="13"/>
      <c r="H675" s="20"/>
    </row>
    <row r="676">
      <c r="D676" s="13"/>
      <c r="F676" s="13"/>
      <c r="G676" s="13"/>
      <c r="H676" s="20"/>
    </row>
    <row r="677">
      <c r="D677" s="13"/>
      <c r="F677" s="13"/>
      <c r="G677" s="13"/>
      <c r="H677" s="20"/>
    </row>
    <row r="678">
      <c r="D678" s="13"/>
      <c r="F678" s="13"/>
      <c r="G678" s="13"/>
      <c r="H678" s="20"/>
    </row>
    <row r="679">
      <c r="D679" s="13"/>
      <c r="F679" s="13"/>
      <c r="G679" s="13"/>
      <c r="H679" s="20"/>
    </row>
    <row r="680">
      <c r="D680" s="13"/>
      <c r="F680" s="13"/>
      <c r="G680" s="13"/>
      <c r="H680" s="20"/>
    </row>
    <row r="681">
      <c r="D681" s="13"/>
      <c r="F681" s="13"/>
      <c r="G681" s="13"/>
      <c r="H681" s="20"/>
    </row>
    <row r="682">
      <c r="D682" s="13"/>
      <c r="F682" s="13"/>
      <c r="G682" s="13"/>
      <c r="H682" s="20"/>
    </row>
    <row r="683">
      <c r="D683" s="13"/>
      <c r="F683" s="13"/>
      <c r="G683" s="13"/>
      <c r="H683" s="20"/>
    </row>
    <row r="684">
      <c r="D684" s="13"/>
      <c r="F684" s="13"/>
      <c r="G684" s="13"/>
      <c r="H684" s="20"/>
    </row>
    <row r="685">
      <c r="D685" s="13"/>
      <c r="F685" s="13"/>
      <c r="G685" s="13"/>
      <c r="H685" s="20"/>
    </row>
    <row r="686">
      <c r="D686" s="13"/>
      <c r="F686" s="13"/>
      <c r="G686" s="13"/>
      <c r="H686" s="20"/>
    </row>
    <row r="687">
      <c r="D687" s="13"/>
      <c r="F687" s="13"/>
      <c r="G687" s="13"/>
      <c r="H687" s="20"/>
    </row>
    <row r="688">
      <c r="D688" s="13"/>
      <c r="F688" s="13"/>
      <c r="G688" s="13"/>
      <c r="H688" s="20"/>
    </row>
    <row r="689">
      <c r="D689" s="13"/>
      <c r="F689" s="13"/>
      <c r="G689" s="13"/>
      <c r="H689" s="20"/>
    </row>
    <row r="690">
      <c r="D690" s="13"/>
      <c r="F690" s="13"/>
      <c r="G690" s="13"/>
      <c r="H690" s="20"/>
    </row>
    <row r="691">
      <c r="D691" s="13"/>
      <c r="F691" s="13"/>
      <c r="G691" s="13"/>
      <c r="H691" s="20"/>
    </row>
    <row r="692">
      <c r="D692" s="13"/>
      <c r="F692" s="13"/>
      <c r="G692" s="13"/>
      <c r="H692" s="20"/>
    </row>
    <row r="693">
      <c r="D693" s="13"/>
      <c r="F693" s="13"/>
      <c r="G693" s="13"/>
      <c r="H693" s="20"/>
    </row>
    <row r="694">
      <c r="D694" s="13"/>
      <c r="F694" s="13"/>
      <c r="G694" s="13"/>
      <c r="H694" s="20"/>
    </row>
    <row r="695">
      <c r="D695" s="13"/>
      <c r="F695" s="13"/>
      <c r="G695" s="13"/>
      <c r="H695" s="20"/>
    </row>
    <row r="696">
      <c r="D696" s="13"/>
      <c r="F696" s="13"/>
      <c r="G696" s="13"/>
      <c r="H696" s="20"/>
    </row>
    <row r="697">
      <c r="D697" s="13"/>
      <c r="F697" s="13"/>
      <c r="G697" s="13"/>
      <c r="H697" s="20"/>
    </row>
    <row r="698">
      <c r="D698" s="13"/>
      <c r="F698" s="13"/>
      <c r="G698" s="13"/>
      <c r="H698" s="20"/>
    </row>
    <row r="699">
      <c r="D699" s="13"/>
      <c r="F699" s="13"/>
      <c r="G699" s="13"/>
      <c r="H699" s="20"/>
    </row>
    <row r="700">
      <c r="D700" s="13"/>
      <c r="F700" s="13"/>
      <c r="G700" s="13"/>
      <c r="H700" s="20"/>
    </row>
    <row r="701">
      <c r="D701" s="13"/>
      <c r="F701" s="13"/>
      <c r="G701" s="13"/>
      <c r="H701" s="20"/>
    </row>
    <row r="702">
      <c r="D702" s="13"/>
      <c r="F702" s="13"/>
      <c r="G702" s="13"/>
      <c r="H702" s="20"/>
    </row>
    <row r="703">
      <c r="D703" s="13"/>
      <c r="F703" s="13"/>
      <c r="G703" s="13"/>
      <c r="H703" s="20"/>
    </row>
    <row r="704">
      <c r="D704" s="13"/>
      <c r="F704" s="13"/>
      <c r="G704" s="13"/>
      <c r="H704" s="20"/>
    </row>
    <row r="705">
      <c r="D705" s="13"/>
      <c r="F705" s="13"/>
      <c r="G705" s="13"/>
      <c r="H705" s="20"/>
    </row>
    <row r="706">
      <c r="D706" s="13"/>
      <c r="F706" s="13"/>
      <c r="G706" s="13"/>
      <c r="H706" s="20"/>
    </row>
    <row r="707">
      <c r="D707" s="13"/>
      <c r="F707" s="13"/>
      <c r="G707" s="13"/>
      <c r="H707" s="20"/>
    </row>
    <row r="708">
      <c r="D708" s="13"/>
      <c r="F708" s="13"/>
      <c r="G708" s="13"/>
      <c r="H708" s="20"/>
    </row>
    <row r="709">
      <c r="D709" s="13"/>
      <c r="F709" s="13"/>
      <c r="G709" s="13"/>
      <c r="H709" s="20"/>
    </row>
    <row r="710">
      <c r="D710" s="13"/>
      <c r="F710" s="13"/>
      <c r="G710" s="13"/>
      <c r="H710" s="20"/>
    </row>
    <row r="711">
      <c r="D711" s="13"/>
      <c r="F711" s="13"/>
      <c r="G711" s="13"/>
      <c r="H711" s="20"/>
    </row>
    <row r="712">
      <c r="D712" s="13"/>
      <c r="F712" s="13"/>
      <c r="G712" s="13"/>
      <c r="H712" s="20"/>
    </row>
    <row r="713">
      <c r="D713" s="13"/>
      <c r="F713" s="13"/>
      <c r="G713" s="13"/>
      <c r="H713" s="20"/>
    </row>
    <row r="714">
      <c r="D714" s="13"/>
      <c r="F714" s="13"/>
      <c r="G714" s="13"/>
      <c r="H714" s="20"/>
    </row>
    <row r="715">
      <c r="D715" s="13"/>
      <c r="F715" s="13"/>
      <c r="G715" s="13"/>
      <c r="H715" s="20"/>
    </row>
    <row r="716">
      <c r="D716" s="13"/>
      <c r="F716" s="13"/>
      <c r="G716" s="13"/>
      <c r="H716" s="20"/>
    </row>
    <row r="717">
      <c r="D717" s="13"/>
      <c r="F717" s="13"/>
      <c r="G717" s="13"/>
      <c r="H717" s="20"/>
    </row>
    <row r="718">
      <c r="D718" s="13"/>
      <c r="F718" s="13"/>
      <c r="G718" s="13"/>
      <c r="H718" s="20"/>
    </row>
    <row r="719">
      <c r="D719" s="13"/>
      <c r="F719" s="13"/>
      <c r="G719" s="13"/>
      <c r="H719" s="20"/>
    </row>
    <row r="720">
      <c r="D720" s="13"/>
      <c r="F720" s="13"/>
      <c r="G720" s="13"/>
      <c r="H720" s="20"/>
    </row>
    <row r="721">
      <c r="D721" s="13"/>
      <c r="F721" s="13"/>
      <c r="G721" s="13"/>
      <c r="H721" s="20"/>
    </row>
    <row r="722">
      <c r="D722" s="13"/>
      <c r="F722" s="13"/>
      <c r="G722" s="13"/>
      <c r="H722" s="20"/>
    </row>
    <row r="723">
      <c r="D723" s="13"/>
      <c r="F723" s="13"/>
      <c r="G723" s="13"/>
      <c r="H723" s="20"/>
    </row>
    <row r="724">
      <c r="D724" s="13"/>
      <c r="F724" s="13"/>
      <c r="G724" s="13"/>
      <c r="H724" s="20"/>
    </row>
    <row r="725">
      <c r="D725" s="13"/>
      <c r="F725" s="13"/>
      <c r="G725" s="13"/>
      <c r="H725" s="20"/>
    </row>
    <row r="726">
      <c r="D726" s="13"/>
      <c r="F726" s="13"/>
      <c r="G726" s="13"/>
      <c r="H726" s="20"/>
    </row>
    <row r="727">
      <c r="D727" s="13"/>
      <c r="F727" s="13"/>
      <c r="G727" s="13"/>
      <c r="H727" s="20"/>
    </row>
    <row r="728">
      <c r="D728" s="13"/>
      <c r="F728" s="13"/>
      <c r="G728" s="13"/>
      <c r="H728" s="20"/>
    </row>
    <row r="729">
      <c r="D729" s="13"/>
      <c r="F729" s="13"/>
      <c r="G729" s="13"/>
      <c r="H729" s="20"/>
    </row>
    <row r="730">
      <c r="D730" s="13"/>
      <c r="F730" s="13"/>
      <c r="G730" s="13"/>
      <c r="H730" s="20"/>
    </row>
    <row r="731">
      <c r="D731" s="13"/>
      <c r="F731" s="13"/>
      <c r="G731" s="13"/>
      <c r="H731" s="20"/>
    </row>
    <row r="732">
      <c r="D732" s="13"/>
      <c r="F732" s="13"/>
      <c r="G732" s="13"/>
      <c r="H732" s="20"/>
    </row>
    <row r="733">
      <c r="D733" s="13"/>
      <c r="F733" s="13"/>
      <c r="G733" s="13"/>
      <c r="H733" s="20"/>
    </row>
    <row r="734">
      <c r="D734" s="13"/>
      <c r="F734" s="13"/>
      <c r="G734" s="13"/>
      <c r="H734" s="20"/>
    </row>
    <row r="735">
      <c r="D735" s="13"/>
      <c r="F735" s="13"/>
      <c r="G735" s="13"/>
      <c r="H735" s="20"/>
    </row>
    <row r="736">
      <c r="D736" s="13"/>
      <c r="F736" s="13"/>
      <c r="G736" s="13"/>
      <c r="H736" s="20"/>
    </row>
    <row r="737">
      <c r="D737" s="13"/>
      <c r="F737" s="13"/>
      <c r="G737" s="13"/>
      <c r="H737" s="20"/>
    </row>
    <row r="738">
      <c r="D738" s="13"/>
      <c r="F738" s="13"/>
      <c r="G738" s="13"/>
      <c r="H738" s="20"/>
    </row>
    <row r="739">
      <c r="D739" s="13"/>
      <c r="F739" s="13"/>
      <c r="G739" s="13"/>
      <c r="H739" s="20"/>
    </row>
    <row r="740">
      <c r="D740" s="13"/>
      <c r="F740" s="13"/>
      <c r="G740" s="13"/>
      <c r="H740" s="20"/>
    </row>
    <row r="741">
      <c r="D741" s="13"/>
      <c r="F741" s="13"/>
      <c r="G741" s="13"/>
      <c r="H741" s="20"/>
    </row>
    <row r="742">
      <c r="D742" s="13"/>
      <c r="F742" s="13"/>
      <c r="G742" s="13"/>
      <c r="H742" s="20"/>
    </row>
    <row r="743">
      <c r="D743" s="13"/>
      <c r="F743" s="13"/>
      <c r="G743" s="13"/>
      <c r="H743" s="20"/>
    </row>
    <row r="744">
      <c r="D744" s="13"/>
      <c r="F744" s="13"/>
      <c r="G744" s="13"/>
      <c r="H744" s="20"/>
    </row>
    <row r="745">
      <c r="D745" s="13"/>
      <c r="F745" s="13"/>
      <c r="G745" s="13"/>
      <c r="H745" s="20"/>
    </row>
    <row r="746">
      <c r="D746" s="13"/>
      <c r="F746" s="13"/>
      <c r="G746" s="13"/>
      <c r="H746" s="20"/>
    </row>
    <row r="747">
      <c r="D747" s="13"/>
      <c r="F747" s="13"/>
      <c r="G747" s="13"/>
      <c r="H747" s="20"/>
    </row>
    <row r="748">
      <c r="D748" s="13"/>
      <c r="F748" s="13"/>
      <c r="G748" s="13"/>
      <c r="H748" s="20"/>
    </row>
    <row r="749">
      <c r="D749" s="13"/>
      <c r="F749" s="13"/>
      <c r="G749" s="13"/>
      <c r="H749" s="20"/>
    </row>
    <row r="750">
      <c r="D750" s="13"/>
      <c r="F750" s="13"/>
      <c r="G750" s="13"/>
      <c r="H750" s="20"/>
    </row>
    <row r="751">
      <c r="D751" s="13"/>
      <c r="F751" s="13"/>
      <c r="G751" s="13"/>
      <c r="H751" s="20"/>
    </row>
    <row r="752">
      <c r="D752" s="13"/>
      <c r="F752" s="13"/>
      <c r="G752" s="13"/>
      <c r="H752" s="20"/>
    </row>
    <row r="753">
      <c r="D753" s="13"/>
      <c r="F753" s="13"/>
      <c r="G753" s="13"/>
      <c r="H753" s="20"/>
    </row>
    <row r="754">
      <c r="D754" s="13"/>
      <c r="F754" s="13"/>
      <c r="G754" s="13"/>
      <c r="H754" s="20"/>
    </row>
    <row r="755">
      <c r="D755" s="13"/>
      <c r="F755" s="13"/>
      <c r="G755" s="13"/>
      <c r="H755" s="20"/>
    </row>
    <row r="756">
      <c r="D756" s="13"/>
      <c r="F756" s="13"/>
      <c r="G756" s="13"/>
      <c r="H756" s="20"/>
    </row>
    <row r="757">
      <c r="D757" s="13"/>
      <c r="F757" s="13"/>
      <c r="G757" s="13"/>
      <c r="H757" s="20"/>
    </row>
    <row r="758">
      <c r="D758" s="13"/>
      <c r="F758" s="13"/>
      <c r="G758" s="13"/>
      <c r="H758" s="20"/>
    </row>
    <row r="759">
      <c r="D759" s="13"/>
      <c r="F759" s="13"/>
      <c r="G759" s="13"/>
      <c r="H759" s="20"/>
    </row>
    <row r="760">
      <c r="D760" s="13"/>
      <c r="F760" s="13"/>
      <c r="G760" s="13"/>
      <c r="H760" s="20"/>
    </row>
    <row r="761">
      <c r="D761" s="13"/>
      <c r="F761" s="13"/>
      <c r="G761" s="13"/>
      <c r="H761" s="20"/>
    </row>
    <row r="762">
      <c r="D762" s="13"/>
      <c r="F762" s="13"/>
      <c r="G762" s="13"/>
      <c r="H762" s="20"/>
    </row>
    <row r="763">
      <c r="D763" s="13"/>
      <c r="F763" s="13"/>
      <c r="G763" s="13"/>
      <c r="H763" s="20"/>
    </row>
    <row r="764">
      <c r="D764" s="13"/>
      <c r="F764" s="13"/>
      <c r="G764" s="13"/>
      <c r="H764" s="20"/>
    </row>
    <row r="765">
      <c r="D765" s="13"/>
      <c r="F765" s="13"/>
      <c r="G765" s="13"/>
      <c r="H765" s="20"/>
    </row>
    <row r="766">
      <c r="D766" s="13"/>
      <c r="F766" s="13"/>
      <c r="G766" s="13"/>
      <c r="H766" s="20"/>
    </row>
    <row r="767">
      <c r="D767" s="13"/>
      <c r="F767" s="13"/>
      <c r="G767" s="13"/>
      <c r="H767" s="20"/>
    </row>
    <row r="768">
      <c r="D768" s="13"/>
      <c r="F768" s="13"/>
      <c r="G768" s="13"/>
      <c r="H768" s="20"/>
    </row>
    <row r="769">
      <c r="D769" s="13"/>
      <c r="F769" s="13"/>
      <c r="G769" s="13"/>
      <c r="H769" s="20"/>
    </row>
    <row r="770">
      <c r="D770" s="13"/>
      <c r="F770" s="13"/>
      <c r="G770" s="13"/>
      <c r="H770" s="20"/>
    </row>
    <row r="771">
      <c r="D771" s="13"/>
      <c r="F771" s="13"/>
      <c r="G771" s="13"/>
      <c r="H771" s="20"/>
    </row>
    <row r="772">
      <c r="D772" s="13"/>
      <c r="F772" s="13"/>
      <c r="G772" s="13"/>
      <c r="H772" s="20"/>
    </row>
    <row r="773">
      <c r="D773" s="13"/>
      <c r="F773" s="13"/>
      <c r="G773" s="13"/>
      <c r="H773" s="20"/>
    </row>
    <row r="774">
      <c r="D774" s="13"/>
      <c r="F774" s="13"/>
      <c r="G774" s="13"/>
      <c r="H774" s="20"/>
    </row>
    <row r="775">
      <c r="D775" s="13"/>
      <c r="F775" s="13"/>
      <c r="G775" s="13"/>
      <c r="H775" s="20"/>
    </row>
    <row r="776">
      <c r="D776" s="13"/>
      <c r="F776" s="13"/>
      <c r="G776" s="13"/>
      <c r="H776" s="20"/>
    </row>
    <row r="777">
      <c r="D777" s="13"/>
      <c r="F777" s="13"/>
      <c r="G777" s="13"/>
      <c r="H777" s="20"/>
    </row>
    <row r="778">
      <c r="D778" s="13"/>
      <c r="F778" s="13"/>
      <c r="G778" s="13"/>
      <c r="H778" s="20"/>
    </row>
    <row r="779">
      <c r="D779" s="13"/>
      <c r="F779" s="13"/>
      <c r="G779" s="13"/>
      <c r="H779" s="20"/>
    </row>
    <row r="780">
      <c r="D780" s="13"/>
      <c r="F780" s="13"/>
      <c r="G780" s="13"/>
      <c r="H780" s="20"/>
    </row>
    <row r="781">
      <c r="D781" s="13"/>
      <c r="F781" s="13"/>
      <c r="G781" s="13"/>
      <c r="H781" s="20"/>
    </row>
    <row r="782">
      <c r="D782" s="13"/>
      <c r="F782" s="13"/>
      <c r="G782" s="13"/>
      <c r="H782" s="20"/>
    </row>
    <row r="783">
      <c r="D783" s="13"/>
      <c r="F783" s="13"/>
      <c r="G783" s="13"/>
      <c r="H783" s="20"/>
    </row>
    <row r="784">
      <c r="D784" s="13"/>
      <c r="F784" s="13"/>
      <c r="G784" s="13"/>
      <c r="H784" s="20"/>
    </row>
    <row r="785">
      <c r="D785" s="13"/>
      <c r="F785" s="13"/>
      <c r="G785" s="13"/>
      <c r="H785" s="20"/>
    </row>
    <row r="786">
      <c r="D786" s="13"/>
      <c r="F786" s="13"/>
      <c r="G786" s="13"/>
      <c r="H786" s="20"/>
    </row>
    <row r="787">
      <c r="D787" s="13"/>
      <c r="F787" s="13"/>
      <c r="G787" s="13"/>
      <c r="H787" s="20"/>
    </row>
    <row r="788">
      <c r="D788" s="13"/>
      <c r="F788" s="13"/>
      <c r="G788" s="13"/>
      <c r="H788" s="20"/>
    </row>
    <row r="789">
      <c r="D789" s="13"/>
      <c r="F789" s="13"/>
      <c r="G789" s="13"/>
      <c r="H789" s="20"/>
    </row>
    <row r="790">
      <c r="D790" s="13"/>
      <c r="F790" s="13"/>
      <c r="G790" s="13"/>
      <c r="H790" s="20"/>
    </row>
    <row r="791">
      <c r="D791" s="13"/>
      <c r="F791" s="13"/>
      <c r="G791" s="13"/>
      <c r="H791" s="20"/>
    </row>
    <row r="792">
      <c r="D792" s="13"/>
      <c r="F792" s="13"/>
      <c r="G792" s="13"/>
      <c r="H792" s="20"/>
    </row>
    <row r="793">
      <c r="D793" s="13"/>
      <c r="F793" s="13"/>
      <c r="G793" s="13"/>
      <c r="H793" s="20"/>
    </row>
    <row r="794">
      <c r="D794" s="13"/>
      <c r="F794" s="13"/>
      <c r="G794" s="13"/>
      <c r="H794" s="20"/>
    </row>
    <row r="795">
      <c r="D795" s="13"/>
      <c r="F795" s="13"/>
      <c r="G795" s="13"/>
      <c r="H795" s="20"/>
    </row>
    <row r="796">
      <c r="D796" s="13"/>
      <c r="F796" s="13"/>
      <c r="G796" s="13"/>
      <c r="H796" s="20"/>
    </row>
    <row r="797">
      <c r="D797" s="13"/>
      <c r="F797" s="13"/>
      <c r="G797" s="13"/>
      <c r="H797" s="20"/>
    </row>
    <row r="798">
      <c r="D798" s="13"/>
      <c r="F798" s="13"/>
      <c r="G798" s="13"/>
      <c r="H798" s="20"/>
    </row>
    <row r="799">
      <c r="D799" s="13"/>
      <c r="F799" s="13"/>
      <c r="G799" s="13"/>
      <c r="H799" s="20"/>
    </row>
    <row r="800">
      <c r="D800" s="13"/>
      <c r="F800" s="13"/>
      <c r="G800" s="13"/>
      <c r="H800" s="20"/>
    </row>
    <row r="801">
      <c r="D801" s="13"/>
      <c r="F801" s="13"/>
      <c r="G801" s="13"/>
      <c r="H801" s="20"/>
    </row>
    <row r="802">
      <c r="D802" s="13"/>
      <c r="F802" s="13"/>
      <c r="G802" s="13"/>
      <c r="H802" s="20"/>
    </row>
    <row r="803">
      <c r="D803" s="13"/>
      <c r="F803" s="13"/>
      <c r="G803" s="13"/>
      <c r="H803" s="20"/>
    </row>
    <row r="804">
      <c r="D804" s="13"/>
      <c r="F804" s="13"/>
      <c r="G804" s="13"/>
      <c r="H804" s="20"/>
    </row>
    <row r="805">
      <c r="D805" s="13"/>
      <c r="F805" s="13"/>
      <c r="G805" s="13"/>
      <c r="H805" s="20"/>
    </row>
    <row r="806">
      <c r="D806" s="13"/>
      <c r="F806" s="13"/>
      <c r="G806" s="13"/>
      <c r="H806" s="20"/>
    </row>
    <row r="807">
      <c r="D807" s="13"/>
      <c r="F807" s="13"/>
      <c r="G807" s="13"/>
      <c r="H807" s="20"/>
    </row>
    <row r="808">
      <c r="D808" s="13"/>
      <c r="F808" s="13"/>
      <c r="G808" s="13"/>
      <c r="H808" s="20"/>
    </row>
    <row r="809">
      <c r="D809" s="13"/>
      <c r="F809" s="13"/>
      <c r="G809" s="13"/>
      <c r="H809" s="20"/>
    </row>
    <row r="810">
      <c r="D810" s="13"/>
      <c r="F810" s="13"/>
      <c r="G810" s="13"/>
      <c r="H810" s="20"/>
    </row>
    <row r="811">
      <c r="D811" s="13"/>
      <c r="F811" s="13"/>
      <c r="G811" s="13"/>
      <c r="H811" s="20"/>
    </row>
    <row r="812">
      <c r="D812" s="13"/>
      <c r="F812" s="13"/>
      <c r="G812" s="13"/>
      <c r="H812" s="20"/>
    </row>
    <row r="813">
      <c r="D813" s="13"/>
      <c r="F813" s="13"/>
      <c r="G813" s="13"/>
      <c r="H813" s="20"/>
    </row>
    <row r="814">
      <c r="D814" s="13"/>
      <c r="F814" s="13"/>
      <c r="G814" s="13"/>
      <c r="H814" s="20"/>
    </row>
    <row r="815">
      <c r="D815" s="13"/>
      <c r="F815" s="13"/>
      <c r="G815" s="13"/>
      <c r="H815" s="20"/>
    </row>
    <row r="816">
      <c r="D816" s="13"/>
      <c r="F816" s="13"/>
      <c r="G816" s="13"/>
      <c r="H816" s="20"/>
    </row>
    <row r="817">
      <c r="D817" s="13"/>
      <c r="F817" s="13"/>
      <c r="G817" s="13"/>
      <c r="H817" s="20"/>
    </row>
    <row r="818">
      <c r="D818" s="13"/>
      <c r="F818" s="13"/>
      <c r="G818" s="13"/>
      <c r="H818" s="20"/>
    </row>
    <row r="819">
      <c r="D819" s="13"/>
      <c r="F819" s="13"/>
      <c r="G819" s="13"/>
      <c r="H819" s="20"/>
    </row>
    <row r="820">
      <c r="D820" s="13"/>
      <c r="F820" s="13"/>
      <c r="G820" s="13"/>
      <c r="H820" s="20"/>
    </row>
    <row r="821">
      <c r="D821" s="13"/>
      <c r="F821" s="13"/>
      <c r="G821" s="13"/>
      <c r="H821" s="20"/>
    </row>
    <row r="822">
      <c r="D822" s="13"/>
      <c r="F822" s="13"/>
      <c r="G822" s="13"/>
      <c r="H822" s="20"/>
    </row>
    <row r="823">
      <c r="D823" s="13"/>
      <c r="F823" s="13"/>
      <c r="G823" s="13"/>
      <c r="H823" s="20"/>
    </row>
    <row r="824">
      <c r="D824" s="13"/>
      <c r="F824" s="13"/>
      <c r="G824" s="13"/>
      <c r="H824" s="20"/>
    </row>
    <row r="825">
      <c r="D825" s="13"/>
      <c r="F825" s="13"/>
      <c r="G825" s="13"/>
      <c r="H825" s="20"/>
    </row>
    <row r="826">
      <c r="D826" s="13"/>
      <c r="F826" s="13"/>
      <c r="G826" s="13"/>
      <c r="H826" s="20"/>
    </row>
    <row r="827">
      <c r="D827" s="13"/>
      <c r="F827" s="13"/>
      <c r="G827" s="13"/>
      <c r="H827" s="20"/>
    </row>
    <row r="828">
      <c r="D828" s="13"/>
      <c r="F828" s="13"/>
      <c r="G828" s="13"/>
      <c r="H828" s="20"/>
    </row>
    <row r="829">
      <c r="D829" s="13"/>
      <c r="F829" s="13"/>
      <c r="G829" s="13"/>
      <c r="H829" s="20"/>
    </row>
    <row r="830">
      <c r="D830" s="13"/>
      <c r="F830" s="13"/>
      <c r="G830" s="13"/>
      <c r="H830" s="20"/>
    </row>
    <row r="831">
      <c r="D831" s="13"/>
      <c r="F831" s="13"/>
      <c r="G831" s="13"/>
      <c r="H831" s="20"/>
    </row>
    <row r="832">
      <c r="D832" s="13"/>
      <c r="F832" s="13"/>
      <c r="G832" s="13"/>
      <c r="H832" s="20"/>
    </row>
    <row r="833">
      <c r="D833" s="13"/>
      <c r="F833" s="13"/>
      <c r="G833" s="13"/>
      <c r="H833" s="20"/>
    </row>
    <row r="834">
      <c r="D834" s="13"/>
      <c r="F834" s="13"/>
      <c r="G834" s="13"/>
      <c r="H834" s="20"/>
    </row>
    <row r="835">
      <c r="D835" s="13"/>
      <c r="F835" s="13"/>
      <c r="G835" s="13"/>
      <c r="H835" s="20"/>
    </row>
    <row r="836">
      <c r="D836" s="13"/>
      <c r="F836" s="13"/>
      <c r="G836" s="13"/>
      <c r="H836" s="20"/>
    </row>
    <row r="837">
      <c r="D837" s="13"/>
      <c r="F837" s="13"/>
      <c r="G837" s="13"/>
      <c r="H837" s="20"/>
    </row>
    <row r="838">
      <c r="D838" s="13"/>
      <c r="F838" s="13"/>
      <c r="G838" s="13"/>
      <c r="H838" s="20"/>
    </row>
    <row r="839">
      <c r="D839" s="13"/>
      <c r="F839" s="13"/>
      <c r="G839" s="13"/>
      <c r="H839" s="20"/>
    </row>
    <row r="840">
      <c r="D840" s="13"/>
      <c r="F840" s="13"/>
      <c r="G840" s="13"/>
      <c r="H840" s="20"/>
    </row>
    <row r="841">
      <c r="D841" s="13"/>
      <c r="F841" s="13"/>
      <c r="G841" s="13"/>
      <c r="H841" s="20"/>
    </row>
    <row r="842">
      <c r="D842" s="13"/>
      <c r="F842" s="13"/>
      <c r="G842" s="13"/>
      <c r="H842" s="20"/>
    </row>
    <row r="843">
      <c r="D843" s="13"/>
      <c r="F843" s="13"/>
      <c r="G843" s="13"/>
      <c r="H843" s="20"/>
    </row>
    <row r="844">
      <c r="D844" s="13"/>
      <c r="F844" s="13"/>
      <c r="G844" s="13"/>
      <c r="H844" s="20"/>
    </row>
    <row r="845">
      <c r="D845" s="13"/>
      <c r="F845" s="13"/>
      <c r="G845" s="13"/>
      <c r="H845" s="20"/>
    </row>
    <row r="846">
      <c r="D846" s="13"/>
      <c r="F846" s="13"/>
      <c r="G846" s="13"/>
      <c r="H846" s="20"/>
    </row>
    <row r="847">
      <c r="D847" s="13"/>
      <c r="F847" s="13"/>
      <c r="G847" s="13"/>
      <c r="H847" s="20"/>
    </row>
    <row r="848">
      <c r="D848" s="13"/>
      <c r="F848" s="13"/>
      <c r="G848" s="13"/>
      <c r="H848" s="20"/>
    </row>
    <row r="849">
      <c r="D849" s="13"/>
      <c r="F849" s="13"/>
      <c r="G849" s="13"/>
      <c r="H849" s="20"/>
    </row>
    <row r="850">
      <c r="D850" s="13"/>
      <c r="F850" s="13"/>
      <c r="G850" s="13"/>
      <c r="H850" s="20"/>
    </row>
    <row r="851">
      <c r="D851" s="13"/>
      <c r="F851" s="13"/>
      <c r="G851" s="13"/>
      <c r="H851" s="20"/>
    </row>
    <row r="852">
      <c r="D852" s="13"/>
      <c r="F852" s="13"/>
      <c r="G852" s="13"/>
      <c r="H852" s="20"/>
    </row>
    <row r="853">
      <c r="D853" s="13"/>
      <c r="F853" s="13"/>
      <c r="G853" s="13"/>
      <c r="H853" s="20"/>
    </row>
    <row r="854">
      <c r="D854" s="13"/>
      <c r="F854" s="13"/>
      <c r="G854" s="13"/>
      <c r="H854" s="20"/>
    </row>
    <row r="855">
      <c r="D855" s="13"/>
      <c r="F855" s="13"/>
      <c r="G855" s="13"/>
      <c r="H855" s="20"/>
    </row>
    <row r="856">
      <c r="D856" s="13"/>
      <c r="F856" s="13"/>
      <c r="G856" s="13"/>
      <c r="H856" s="20"/>
    </row>
    <row r="857">
      <c r="D857" s="13"/>
      <c r="F857" s="13"/>
      <c r="G857" s="13"/>
      <c r="H857" s="20"/>
    </row>
    <row r="858">
      <c r="D858" s="13"/>
      <c r="F858" s="13"/>
      <c r="G858" s="13"/>
      <c r="H858" s="20"/>
    </row>
    <row r="859">
      <c r="D859" s="13"/>
      <c r="F859" s="13"/>
      <c r="G859" s="13"/>
      <c r="H859" s="20"/>
    </row>
    <row r="860">
      <c r="D860" s="13"/>
      <c r="F860" s="13"/>
      <c r="G860" s="13"/>
      <c r="H860" s="20"/>
    </row>
    <row r="861">
      <c r="D861" s="13"/>
      <c r="F861" s="13"/>
      <c r="G861" s="13"/>
      <c r="H861" s="20"/>
    </row>
    <row r="862">
      <c r="D862" s="13"/>
      <c r="F862" s="13"/>
      <c r="G862" s="13"/>
      <c r="H862" s="20"/>
    </row>
    <row r="863">
      <c r="D863" s="13"/>
      <c r="F863" s="13"/>
      <c r="G863" s="13"/>
      <c r="H863" s="20"/>
    </row>
    <row r="864">
      <c r="D864" s="13"/>
      <c r="F864" s="13"/>
      <c r="G864" s="13"/>
      <c r="H864" s="20"/>
    </row>
    <row r="865">
      <c r="D865" s="13"/>
      <c r="F865" s="13"/>
      <c r="G865" s="13"/>
      <c r="H865" s="20"/>
    </row>
    <row r="866">
      <c r="D866" s="13"/>
      <c r="F866" s="13"/>
      <c r="G866" s="13"/>
      <c r="H866" s="20"/>
    </row>
    <row r="867">
      <c r="D867" s="13"/>
      <c r="F867" s="13"/>
      <c r="G867" s="13"/>
      <c r="H867" s="20"/>
    </row>
    <row r="868">
      <c r="D868" s="13"/>
      <c r="F868" s="13"/>
      <c r="G868" s="13"/>
      <c r="H868" s="20"/>
    </row>
    <row r="869">
      <c r="D869" s="13"/>
      <c r="F869" s="13"/>
      <c r="G869" s="13"/>
      <c r="H869" s="20"/>
    </row>
    <row r="870">
      <c r="D870" s="13"/>
      <c r="F870" s="13"/>
      <c r="G870" s="13"/>
      <c r="H870" s="20"/>
    </row>
    <row r="871">
      <c r="D871" s="13"/>
      <c r="F871" s="13"/>
      <c r="G871" s="13"/>
      <c r="H871" s="20"/>
    </row>
    <row r="872">
      <c r="D872" s="13"/>
      <c r="F872" s="13"/>
      <c r="G872" s="13"/>
      <c r="H872" s="20"/>
    </row>
    <row r="873">
      <c r="D873" s="13"/>
      <c r="F873" s="13"/>
      <c r="G873" s="13"/>
      <c r="H873" s="20"/>
    </row>
    <row r="874">
      <c r="D874" s="13"/>
      <c r="F874" s="13"/>
      <c r="G874" s="13"/>
      <c r="H874" s="20"/>
    </row>
    <row r="875">
      <c r="D875" s="13"/>
      <c r="F875" s="13"/>
      <c r="G875" s="13"/>
      <c r="H875" s="20"/>
    </row>
    <row r="876">
      <c r="D876" s="13"/>
      <c r="F876" s="13"/>
      <c r="G876" s="13"/>
      <c r="H876" s="20"/>
    </row>
    <row r="877">
      <c r="D877" s="13"/>
      <c r="F877" s="13"/>
      <c r="G877" s="13"/>
      <c r="H877" s="20"/>
    </row>
    <row r="878">
      <c r="D878" s="13"/>
      <c r="F878" s="13"/>
      <c r="G878" s="13"/>
      <c r="H878" s="20"/>
    </row>
    <row r="879">
      <c r="D879" s="13"/>
      <c r="F879" s="13"/>
      <c r="G879" s="13"/>
      <c r="H879" s="20"/>
    </row>
    <row r="880">
      <c r="D880" s="13"/>
      <c r="F880" s="13"/>
      <c r="G880" s="13"/>
      <c r="H880" s="20"/>
    </row>
    <row r="881">
      <c r="D881" s="13"/>
      <c r="F881" s="13"/>
      <c r="G881" s="13"/>
      <c r="H881" s="20"/>
    </row>
    <row r="882">
      <c r="D882" s="13"/>
      <c r="F882" s="13"/>
      <c r="G882" s="13"/>
      <c r="H882" s="20"/>
    </row>
    <row r="883">
      <c r="D883" s="13"/>
      <c r="F883" s="13"/>
      <c r="G883" s="13"/>
      <c r="H883" s="20"/>
    </row>
    <row r="884">
      <c r="D884" s="13"/>
      <c r="F884" s="13"/>
      <c r="G884" s="13"/>
      <c r="H884" s="20"/>
    </row>
    <row r="885">
      <c r="D885" s="13"/>
      <c r="F885" s="13"/>
      <c r="G885" s="13"/>
      <c r="H885" s="20"/>
    </row>
    <row r="886">
      <c r="D886" s="13"/>
      <c r="F886" s="13"/>
      <c r="G886" s="13"/>
      <c r="H886" s="20"/>
    </row>
    <row r="887">
      <c r="D887" s="13"/>
      <c r="F887" s="13"/>
      <c r="G887" s="13"/>
      <c r="H887" s="20"/>
    </row>
    <row r="888">
      <c r="D888" s="13"/>
      <c r="F888" s="13"/>
      <c r="G888" s="13"/>
      <c r="H888" s="20"/>
    </row>
    <row r="889">
      <c r="D889" s="13"/>
      <c r="F889" s="13"/>
      <c r="G889" s="13"/>
      <c r="H889" s="20"/>
    </row>
    <row r="890">
      <c r="D890" s="13"/>
      <c r="F890" s="13"/>
      <c r="G890" s="13"/>
      <c r="H890" s="20"/>
    </row>
    <row r="891">
      <c r="D891" s="13"/>
      <c r="F891" s="13"/>
      <c r="G891" s="13"/>
      <c r="H891" s="20"/>
    </row>
    <row r="892">
      <c r="D892" s="13"/>
      <c r="F892" s="13"/>
      <c r="G892" s="13"/>
      <c r="H892" s="20"/>
    </row>
    <row r="893">
      <c r="D893" s="13"/>
      <c r="F893" s="13"/>
      <c r="G893" s="13"/>
      <c r="H893" s="20"/>
    </row>
    <row r="894">
      <c r="D894" s="13"/>
      <c r="F894" s="13"/>
      <c r="G894" s="13"/>
      <c r="H894" s="20"/>
    </row>
    <row r="895">
      <c r="D895" s="13"/>
      <c r="F895" s="13"/>
      <c r="G895" s="13"/>
      <c r="H895" s="20"/>
    </row>
    <row r="896">
      <c r="D896" s="13"/>
      <c r="F896" s="13"/>
      <c r="G896" s="13"/>
      <c r="H896" s="20"/>
    </row>
    <row r="897">
      <c r="D897" s="13"/>
      <c r="F897" s="13"/>
      <c r="G897" s="13"/>
      <c r="H897" s="20"/>
    </row>
    <row r="898">
      <c r="D898" s="13"/>
      <c r="F898" s="13"/>
      <c r="G898" s="13"/>
      <c r="H898" s="20"/>
    </row>
    <row r="899">
      <c r="D899" s="13"/>
      <c r="F899" s="13"/>
      <c r="G899" s="13"/>
      <c r="H899" s="20"/>
    </row>
    <row r="900">
      <c r="D900" s="13"/>
      <c r="F900" s="13"/>
      <c r="G900" s="13"/>
      <c r="H900" s="20"/>
    </row>
    <row r="901">
      <c r="D901" s="13"/>
      <c r="F901" s="13"/>
      <c r="G901" s="13"/>
      <c r="H901" s="20"/>
    </row>
    <row r="902">
      <c r="D902" s="13"/>
      <c r="F902" s="13"/>
      <c r="G902" s="13"/>
      <c r="H902" s="20"/>
    </row>
    <row r="903">
      <c r="D903" s="13"/>
      <c r="F903" s="13"/>
      <c r="G903" s="13"/>
      <c r="H903" s="20"/>
    </row>
    <row r="904">
      <c r="D904" s="13"/>
      <c r="F904" s="13"/>
      <c r="G904" s="13"/>
      <c r="H904" s="20"/>
    </row>
    <row r="905">
      <c r="D905" s="13"/>
      <c r="F905" s="13"/>
      <c r="G905" s="13"/>
      <c r="H905" s="20"/>
    </row>
    <row r="906">
      <c r="D906" s="13"/>
      <c r="F906" s="13"/>
      <c r="G906" s="13"/>
      <c r="H906" s="20"/>
    </row>
    <row r="907">
      <c r="D907" s="13"/>
      <c r="F907" s="13"/>
      <c r="G907" s="13"/>
      <c r="H907" s="20"/>
    </row>
    <row r="908">
      <c r="D908" s="13"/>
      <c r="F908" s="13"/>
      <c r="G908" s="13"/>
      <c r="H908" s="20"/>
    </row>
    <row r="909">
      <c r="D909" s="13"/>
      <c r="F909" s="13"/>
      <c r="G909" s="13"/>
      <c r="H909" s="20"/>
    </row>
    <row r="910">
      <c r="D910" s="13"/>
      <c r="F910" s="13"/>
      <c r="G910" s="13"/>
      <c r="H910" s="20"/>
    </row>
    <row r="911">
      <c r="D911" s="13"/>
      <c r="F911" s="13"/>
      <c r="G911" s="13"/>
      <c r="H911" s="20"/>
    </row>
    <row r="912">
      <c r="D912" s="13"/>
      <c r="F912" s="13"/>
      <c r="G912" s="13"/>
      <c r="H912" s="20"/>
    </row>
    <row r="913">
      <c r="D913" s="13"/>
      <c r="F913" s="13"/>
      <c r="G913" s="13"/>
      <c r="H913" s="20"/>
    </row>
    <row r="914">
      <c r="D914" s="13"/>
      <c r="F914" s="13"/>
      <c r="G914" s="13"/>
      <c r="H914" s="20"/>
    </row>
    <row r="915">
      <c r="D915" s="13"/>
      <c r="F915" s="13"/>
      <c r="G915" s="13"/>
      <c r="H915" s="20"/>
    </row>
    <row r="916">
      <c r="D916" s="13"/>
      <c r="F916" s="13"/>
      <c r="G916" s="13"/>
      <c r="H916" s="20"/>
    </row>
    <row r="917">
      <c r="D917" s="13"/>
      <c r="F917" s="13"/>
      <c r="G917" s="13"/>
      <c r="H917" s="20"/>
    </row>
    <row r="918">
      <c r="D918" s="13"/>
      <c r="F918" s="13"/>
      <c r="G918" s="13"/>
      <c r="H918" s="20"/>
    </row>
    <row r="919">
      <c r="D919" s="13"/>
      <c r="F919" s="13"/>
      <c r="G919" s="13"/>
      <c r="H919" s="20"/>
    </row>
    <row r="920">
      <c r="D920" s="13"/>
      <c r="F920" s="13"/>
      <c r="G920" s="13"/>
      <c r="H920" s="20"/>
    </row>
    <row r="921">
      <c r="D921" s="13"/>
      <c r="F921" s="13"/>
      <c r="G921" s="13"/>
      <c r="H921" s="20"/>
    </row>
    <row r="922">
      <c r="D922" s="13"/>
      <c r="F922" s="13"/>
      <c r="G922" s="13"/>
      <c r="H922" s="20"/>
    </row>
    <row r="923">
      <c r="D923" s="13"/>
      <c r="F923" s="13"/>
      <c r="G923" s="13"/>
      <c r="H923" s="20"/>
    </row>
    <row r="924">
      <c r="D924" s="13"/>
      <c r="F924" s="13"/>
      <c r="G924" s="13"/>
      <c r="H924" s="20"/>
    </row>
    <row r="925">
      <c r="D925" s="13"/>
      <c r="F925" s="13"/>
      <c r="G925" s="13"/>
      <c r="H925" s="20"/>
    </row>
    <row r="926">
      <c r="D926" s="13"/>
      <c r="F926" s="13"/>
      <c r="G926" s="13"/>
      <c r="H926" s="20"/>
    </row>
    <row r="927">
      <c r="D927" s="13"/>
      <c r="F927" s="13"/>
      <c r="G927" s="13"/>
      <c r="H927" s="20"/>
    </row>
    <row r="928">
      <c r="D928" s="13"/>
      <c r="F928" s="13"/>
      <c r="G928" s="13"/>
      <c r="H928" s="20"/>
    </row>
    <row r="929">
      <c r="D929" s="13"/>
      <c r="F929" s="13"/>
      <c r="G929" s="13"/>
      <c r="H929" s="20"/>
    </row>
    <row r="930">
      <c r="D930" s="13"/>
      <c r="F930" s="13"/>
      <c r="G930" s="13"/>
      <c r="H930" s="20"/>
    </row>
    <row r="931">
      <c r="D931" s="13"/>
      <c r="F931" s="13"/>
      <c r="G931" s="13"/>
      <c r="H931" s="20"/>
    </row>
    <row r="932">
      <c r="D932" s="13"/>
      <c r="F932" s="13"/>
      <c r="G932" s="13"/>
      <c r="H932" s="20"/>
    </row>
    <row r="933">
      <c r="D933" s="13"/>
      <c r="F933" s="13"/>
      <c r="G933" s="13"/>
      <c r="H933" s="20"/>
    </row>
    <row r="934">
      <c r="D934" s="13"/>
      <c r="F934" s="13"/>
      <c r="G934" s="13"/>
      <c r="H934" s="20"/>
    </row>
    <row r="935">
      <c r="D935" s="13"/>
      <c r="F935" s="13"/>
      <c r="G935" s="13"/>
      <c r="H935" s="20"/>
    </row>
    <row r="936">
      <c r="D936" s="13"/>
      <c r="F936" s="13"/>
      <c r="G936" s="13"/>
      <c r="H936" s="20"/>
    </row>
    <row r="937">
      <c r="D937" s="13"/>
      <c r="F937" s="13"/>
      <c r="G937" s="13"/>
      <c r="H937" s="20"/>
    </row>
    <row r="938">
      <c r="D938" s="13"/>
      <c r="F938" s="13"/>
      <c r="G938" s="13"/>
      <c r="H938" s="20"/>
    </row>
    <row r="939">
      <c r="D939" s="13"/>
      <c r="F939" s="13"/>
      <c r="G939" s="13"/>
      <c r="H939" s="20"/>
    </row>
    <row r="940">
      <c r="D940" s="13"/>
      <c r="F940" s="13"/>
      <c r="G940" s="13"/>
      <c r="H940" s="20"/>
    </row>
    <row r="941">
      <c r="D941" s="13"/>
      <c r="F941" s="13"/>
      <c r="G941" s="13"/>
      <c r="H941" s="20"/>
    </row>
    <row r="942">
      <c r="D942" s="13"/>
      <c r="F942" s="13"/>
      <c r="G942" s="13"/>
      <c r="H942" s="20"/>
    </row>
    <row r="943">
      <c r="D943" s="13"/>
      <c r="F943" s="13"/>
      <c r="G943" s="13"/>
      <c r="H943" s="20"/>
    </row>
    <row r="944">
      <c r="D944" s="13"/>
      <c r="F944" s="13"/>
      <c r="G944" s="13"/>
      <c r="H944" s="20"/>
    </row>
    <row r="945">
      <c r="D945" s="13"/>
      <c r="F945" s="13"/>
      <c r="G945" s="13"/>
      <c r="H945" s="20"/>
    </row>
    <row r="946">
      <c r="D946" s="13"/>
      <c r="F946" s="13"/>
      <c r="G946" s="13"/>
      <c r="H946" s="20"/>
    </row>
    <row r="947">
      <c r="D947" s="13"/>
      <c r="F947" s="13"/>
      <c r="G947" s="13"/>
      <c r="H947" s="20"/>
    </row>
    <row r="948">
      <c r="D948" s="13"/>
      <c r="F948" s="13"/>
      <c r="G948" s="13"/>
      <c r="H948" s="20"/>
    </row>
    <row r="949">
      <c r="D949" s="13"/>
      <c r="F949" s="13"/>
      <c r="G949" s="13"/>
      <c r="H949" s="20"/>
    </row>
    <row r="950">
      <c r="D950" s="13"/>
      <c r="F950" s="13"/>
      <c r="G950" s="13"/>
      <c r="H950" s="20"/>
    </row>
    <row r="951">
      <c r="D951" s="13"/>
      <c r="F951" s="13"/>
      <c r="G951" s="13"/>
      <c r="H951" s="20"/>
    </row>
    <row r="952">
      <c r="D952" s="13"/>
      <c r="F952" s="13"/>
      <c r="G952" s="13"/>
      <c r="H952" s="20"/>
    </row>
    <row r="953">
      <c r="D953" s="13"/>
      <c r="F953" s="13"/>
      <c r="G953" s="13"/>
      <c r="H953" s="20"/>
    </row>
    <row r="954">
      <c r="D954" s="13"/>
      <c r="F954" s="13"/>
      <c r="G954" s="13"/>
      <c r="H954" s="20"/>
    </row>
    <row r="955">
      <c r="D955" s="13"/>
      <c r="F955" s="13"/>
      <c r="G955" s="13"/>
      <c r="H955" s="20"/>
    </row>
    <row r="956">
      <c r="D956" s="13"/>
      <c r="F956" s="13"/>
      <c r="G956" s="13"/>
      <c r="H956" s="20"/>
    </row>
    <row r="957">
      <c r="D957" s="13"/>
      <c r="F957" s="13"/>
      <c r="G957" s="13"/>
      <c r="H957" s="20"/>
    </row>
    <row r="958">
      <c r="D958" s="13"/>
      <c r="F958" s="13"/>
      <c r="G958" s="13"/>
      <c r="H958" s="20"/>
    </row>
    <row r="959">
      <c r="D959" s="13"/>
      <c r="F959" s="13"/>
      <c r="G959" s="13"/>
      <c r="H959" s="20"/>
    </row>
    <row r="960">
      <c r="D960" s="13"/>
      <c r="F960" s="13"/>
      <c r="G960" s="13"/>
      <c r="H960" s="20"/>
    </row>
    <row r="961">
      <c r="D961" s="13"/>
      <c r="F961" s="13"/>
      <c r="G961" s="13"/>
      <c r="H961" s="20"/>
    </row>
    <row r="962">
      <c r="D962" s="13"/>
      <c r="F962" s="13"/>
      <c r="G962" s="13"/>
      <c r="H962" s="20"/>
    </row>
    <row r="963">
      <c r="D963" s="13"/>
      <c r="F963" s="13"/>
      <c r="G963" s="13"/>
      <c r="H963" s="20"/>
    </row>
    <row r="964">
      <c r="D964" s="13"/>
      <c r="F964" s="13"/>
      <c r="G964" s="13"/>
      <c r="H964" s="20"/>
    </row>
    <row r="965">
      <c r="D965" s="13"/>
      <c r="F965" s="13"/>
      <c r="G965" s="13"/>
      <c r="H965" s="20"/>
    </row>
    <row r="966">
      <c r="D966" s="13"/>
      <c r="F966" s="13"/>
      <c r="G966" s="13"/>
      <c r="H966" s="20"/>
    </row>
    <row r="967">
      <c r="D967" s="13"/>
      <c r="F967" s="13"/>
      <c r="G967" s="13"/>
      <c r="H967" s="20"/>
    </row>
    <row r="968">
      <c r="D968" s="13"/>
      <c r="F968" s="13"/>
      <c r="G968" s="13"/>
      <c r="H968" s="20"/>
    </row>
    <row r="969">
      <c r="D969" s="13"/>
      <c r="F969" s="13"/>
      <c r="G969" s="13"/>
      <c r="H969" s="20"/>
    </row>
    <row r="970">
      <c r="D970" s="13"/>
      <c r="F970" s="13"/>
      <c r="G970" s="13"/>
      <c r="H970" s="20"/>
    </row>
    <row r="971">
      <c r="D971" s="13"/>
      <c r="F971" s="13"/>
      <c r="G971" s="13"/>
      <c r="H971" s="20"/>
    </row>
    <row r="972">
      <c r="D972" s="13"/>
      <c r="F972" s="13"/>
      <c r="G972" s="13"/>
      <c r="H972" s="20"/>
    </row>
    <row r="973">
      <c r="D973" s="13"/>
      <c r="F973" s="13"/>
      <c r="G973" s="13"/>
      <c r="H973" s="20"/>
    </row>
    <row r="974">
      <c r="D974" s="13"/>
      <c r="F974" s="13"/>
      <c r="G974" s="13"/>
      <c r="H974" s="20"/>
    </row>
    <row r="975">
      <c r="D975" s="13"/>
      <c r="F975" s="13"/>
      <c r="G975" s="13"/>
      <c r="H975" s="20"/>
    </row>
    <row r="976">
      <c r="D976" s="13"/>
      <c r="F976" s="13"/>
      <c r="G976" s="13"/>
      <c r="H976" s="20"/>
    </row>
    <row r="977">
      <c r="D977" s="13"/>
      <c r="F977" s="13"/>
      <c r="G977" s="13"/>
      <c r="H977" s="20"/>
    </row>
    <row r="978">
      <c r="D978" s="13"/>
      <c r="F978" s="13"/>
      <c r="G978" s="13"/>
      <c r="H978" s="20"/>
    </row>
    <row r="979">
      <c r="D979" s="13"/>
      <c r="F979" s="13"/>
      <c r="G979" s="13"/>
      <c r="H979" s="20"/>
    </row>
    <row r="980">
      <c r="D980" s="13"/>
      <c r="F980" s="13"/>
      <c r="G980" s="13"/>
      <c r="H980" s="20"/>
    </row>
    <row r="981">
      <c r="D981" s="13"/>
      <c r="F981" s="13"/>
      <c r="G981" s="13"/>
      <c r="H981" s="20"/>
    </row>
    <row r="982">
      <c r="D982" s="13"/>
      <c r="F982" s="13"/>
      <c r="G982" s="13"/>
      <c r="H982" s="20"/>
    </row>
    <row r="983">
      <c r="D983" s="13"/>
      <c r="F983" s="13"/>
      <c r="G983" s="13"/>
      <c r="H983" s="20"/>
    </row>
    <row r="984">
      <c r="D984" s="13"/>
      <c r="F984" s="13"/>
      <c r="G984" s="13"/>
      <c r="H984" s="20"/>
    </row>
    <row r="985">
      <c r="D985" s="13"/>
      <c r="F985" s="13"/>
      <c r="G985" s="13"/>
      <c r="H985" s="20"/>
    </row>
    <row r="986">
      <c r="D986" s="13"/>
      <c r="F986" s="13"/>
      <c r="G986" s="13"/>
      <c r="H986" s="20"/>
    </row>
    <row r="987">
      <c r="D987" s="13"/>
      <c r="F987" s="13"/>
      <c r="G987" s="13"/>
      <c r="H987" s="20"/>
    </row>
    <row r="988">
      <c r="D988" s="13"/>
      <c r="F988" s="13"/>
      <c r="G988" s="13"/>
      <c r="H988" s="20"/>
    </row>
    <row r="989">
      <c r="D989" s="13"/>
      <c r="F989" s="13"/>
      <c r="G989" s="13"/>
      <c r="H989" s="20"/>
    </row>
    <row r="990">
      <c r="D990" s="13"/>
      <c r="F990" s="13"/>
      <c r="G990" s="13"/>
      <c r="H990" s="20"/>
    </row>
    <row r="991">
      <c r="D991" s="13"/>
      <c r="F991" s="13"/>
      <c r="G991" s="13"/>
      <c r="H991" s="20"/>
    </row>
    <row r="992">
      <c r="D992" s="13"/>
      <c r="F992" s="13"/>
      <c r="G992" s="13"/>
      <c r="H992" s="20"/>
    </row>
    <row r="993">
      <c r="D993" s="13"/>
      <c r="F993" s="13"/>
      <c r="G993" s="13"/>
      <c r="H993" s="20"/>
    </row>
    <row r="994">
      <c r="D994" s="13"/>
      <c r="F994" s="13"/>
      <c r="G994" s="13"/>
      <c r="H994" s="20"/>
    </row>
    <row r="995">
      <c r="D995" s="13"/>
      <c r="F995" s="13"/>
      <c r="G995" s="13"/>
      <c r="H995" s="20"/>
    </row>
    <row r="996">
      <c r="D996" s="13"/>
      <c r="F996" s="13"/>
      <c r="G996" s="13"/>
      <c r="H996" s="20"/>
    </row>
    <row r="997">
      <c r="D997" s="13"/>
      <c r="F997" s="13"/>
      <c r="G997" s="13"/>
      <c r="H997" s="20"/>
    </row>
    <row r="998">
      <c r="D998" s="13"/>
      <c r="F998" s="13"/>
      <c r="G998" s="13"/>
      <c r="H998" s="20"/>
    </row>
    <row r="999">
      <c r="D999" s="13"/>
      <c r="F999" s="13"/>
      <c r="G999" s="13"/>
      <c r="H999" s="20"/>
    </row>
    <row r="1000">
      <c r="D1000" s="13"/>
      <c r="F1000" s="13"/>
      <c r="G1000" s="13"/>
      <c r="H100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</row>
    <row r="2">
      <c r="A2" s="32">
        <v>45658.0</v>
      </c>
      <c r="B2" s="8">
        <v>37761.0</v>
      </c>
      <c r="C2" s="8">
        <v>685.0</v>
      </c>
      <c r="D2" s="33">
        <v>519.0</v>
      </c>
      <c r="E2" s="8">
        <v>11.0</v>
      </c>
      <c r="F2" s="33">
        <v>1711.0</v>
      </c>
    </row>
    <row r="3">
      <c r="A3" s="32">
        <v>45659.0</v>
      </c>
      <c r="B3" s="8">
        <v>113622.0</v>
      </c>
      <c r="C3" s="8">
        <v>2139.0</v>
      </c>
      <c r="D3" s="33">
        <v>1923.0</v>
      </c>
      <c r="E3" s="8">
        <v>50.0</v>
      </c>
      <c r="F3" s="33">
        <v>6262.0</v>
      </c>
    </row>
    <row r="4">
      <c r="A4" s="32">
        <v>45660.0</v>
      </c>
      <c r="B4" s="8">
        <v>25676.0</v>
      </c>
      <c r="C4" s="8">
        <v>360.0</v>
      </c>
      <c r="D4" s="33">
        <v>270.0</v>
      </c>
      <c r="E4" s="8">
        <v>7.0</v>
      </c>
      <c r="F4" s="33">
        <v>861.0</v>
      </c>
    </row>
    <row r="5">
      <c r="A5" s="32">
        <v>45661.0</v>
      </c>
      <c r="B5" s="8">
        <v>55742.0</v>
      </c>
      <c r="C5" s="8">
        <v>927.0</v>
      </c>
      <c r="D5" s="33">
        <v>951.0</v>
      </c>
      <c r="E5" s="8">
        <v>16.0</v>
      </c>
      <c r="F5" s="33">
        <v>3532.0</v>
      </c>
    </row>
    <row r="6">
      <c r="A6" s="32">
        <v>45662.0</v>
      </c>
      <c r="B6" s="8">
        <v>50034.0</v>
      </c>
      <c r="C6" s="8">
        <v>669.0</v>
      </c>
      <c r="D6" s="33">
        <v>588.0</v>
      </c>
      <c r="E6" s="8">
        <v>15.0</v>
      </c>
      <c r="F6" s="33">
        <v>3464.0</v>
      </c>
    </row>
    <row r="7">
      <c r="A7" s="32">
        <v>45663.0</v>
      </c>
      <c r="B7" s="8">
        <v>72795.0</v>
      </c>
      <c r="C7" s="8">
        <v>1327.0</v>
      </c>
      <c r="D7" s="33">
        <v>1464.0</v>
      </c>
      <c r="E7" s="8">
        <v>22.0</v>
      </c>
      <c r="F7" s="33">
        <v>3804.0</v>
      </c>
    </row>
    <row r="8">
      <c r="A8" s="32">
        <v>45664.0</v>
      </c>
      <c r="B8" s="8">
        <v>54686.0</v>
      </c>
      <c r="C8" s="8">
        <v>1607.0</v>
      </c>
      <c r="D8" s="33">
        <v>1118.0</v>
      </c>
      <c r="E8" s="8">
        <v>33.0</v>
      </c>
      <c r="F8" s="33">
        <v>6814.0</v>
      </c>
    </row>
    <row r="9">
      <c r="A9" s="32">
        <v>45665.0</v>
      </c>
      <c r="B9" s="8">
        <v>51903.0</v>
      </c>
      <c r="C9" s="8">
        <v>509.0</v>
      </c>
      <c r="D9" s="33">
        <v>545.0</v>
      </c>
      <c r="E9" s="8">
        <v>10.0</v>
      </c>
      <c r="F9" s="33">
        <v>1671.0</v>
      </c>
    </row>
    <row r="10">
      <c r="A10" s="32">
        <v>45666.0</v>
      </c>
      <c r="B10" s="8">
        <v>96174.0</v>
      </c>
      <c r="C10" s="8">
        <v>2195.0</v>
      </c>
      <c r="D10" s="33">
        <v>1870.0</v>
      </c>
      <c r="E10" s="8">
        <v>38.0</v>
      </c>
      <c r="F10" s="33">
        <v>8346.0</v>
      </c>
    </row>
    <row r="11">
      <c r="A11" s="32">
        <v>45667.0</v>
      </c>
      <c r="B11" s="8">
        <v>85203.0</v>
      </c>
      <c r="C11" s="8">
        <v>1569.0</v>
      </c>
      <c r="D11" s="33">
        <v>2066.0</v>
      </c>
      <c r="E11" s="8">
        <v>19.0</v>
      </c>
      <c r="F11" s="33">
        <v>3876.0</v>
      </c>
    </row>
    <row r="12">
      <c r="A12" s="32">
        <v>45668.0</v>
      </c>
      <c r="B12" s="8">
        <v>81432.0</v>
      </c>
      <c r="C12" s="8">
        <v>1020.0</v>
      </c>
      <c r="D12" s="33">
        <v>1090.0</v>
      </c>
      <c r="E12" s="8">
        <v>20.0</v>
      </c>
      <c r="F12" s="33">
        <v>4285.0</v>
      </c>
    </row>
    <row r="13">
      <c r="A13" s="32">
        <v>45669.0</v>
      </c>
      <c r="B13" s="8">
        <v>86724.0</v>
      </c>
      <c r="C13" s="8">
        <v>1608.0</v>
      </c>
      <c r="D13" s="33">
        <v>1626.0</v>
      </c>
      <c r="E13" s="8">
        <v>20.0</v>
      </c>
      <c r="F13" s="33">
        <v>4266.0</v>
      </c>
    </row>
    <row r="14">
      <c r="A14" s="32">
        <v>45670.0</v>
      </c>
      <c r="B14" s="8">
        <v>97450.0</v>
      </c>
      <c r="C14" s="8">
        <v>2234.0</v>
      </c>
      <c r="D14" s="33">
        <v>1909.0</v>
      </c>
      <c r="E14" s="8">
        <v>32.0</v>
      </c>
      <c r="F14" s="33">
        <v>4158.0</v>
      </c>
    </row>
    <row r="15">
      <c r="A15" s="32">
        <v>45671.0</v>
      </c>
      <c r="B15" s="8">
        <v>87059.0</v>
      </c>
      <c r="C15" s="8">
        <v>1682.0</v>
      </c>
      <c r="D15" s="33">
        <v>1782.0</v>
      </c>
      <c r="E15" s="8">
        <v>31.0</v>
      </c>
      <c r="F15" s="33">
        <v>4794.0</v>
      </c>
    </row>
    <row r="16">
      <c r="A16" s="32">
        <v>45672.0</v>
      </c>
      <c r="B16" s="8">
        <v>82315.0</v>
      </c>
      <c r="C16" s="8">
        <v>2176.0</v>
      </c>
      <c r="D16" s="33">
        <v>1913.0</v>
      </c>
      <c r="E16" s="8">
        <v>34.0</v>
      </c>
      <c r="F16" s="33">
        <v>3083.0</v>
      </c>
    </row>
    <row r="17">
      <c r="A17" s="32">
        <v>45673.0</v>
      </c>
      <c r="B17" s="8">
        <v>30991.0</v>
      </c>
      <c r="C17" s="8">
        <v>726.0</v>
      </c>
      <c r="D17" s="33">
        <v>984.0</v>
      </c>
      <c r="E17" s="8">
        <v>13.0</v>
      </c>
      <c r="F17" s="33">
        <v>1970.0</v>
      </c>
    </row>
    <row r="18">
      <c r="A18" s="32">
        <v>45674.0</v>
      </c>
      <c r="B18" s="8">
        <v>112741.0</v>
      </c>
      <c r="C18" s="8">
        <v>2898.0</v>
      </c>
      <c r="D18" s="33">
        <v>2966.0</v>
      </c>
      <c r="E18" s="8">
        <v>70.0</v>
      </c>
      <c r="F18" s="33">
        <v>10287.0</v>
      </c>
    </row>
    <row r="19">
      <c r="A19" s="32">
        <v>45675.0</v>
      </c>
      <c r="B19" s="8">
        <v>65598.0</v>
      </c>
      <c r="C19" s="8">
        <v>2140.0</v>
      </c>
      <c r="D19" s="33">
        <v>1439.0</v>
      </c>
      <c r="E19" s="8">
        <v>28.0</v>
      </c>
      <c r="F19" s="33">
        <v>3779.0</v>
      </c>
    </row>
    <row r="20">
      <c r="A20" s="32">
        <v>45676.0</v>
      </c>
      <c r="B20" s="8">
        <v>74983.0</v>
      </c>
      <c r="C20" s="8">
        <v>1011.0</v>
      </c>
      <c r="D20" s="33">
        <v>1029.0</v>
      </c>
      <c r="E20" s="8">
        <v>23.0</v>
      </c>
      <c r="F20" s="33">
        <v>2972.0</v>
      </c>
    </row>
    <row r="21">
      <c r="A21" s="32">
        <v>45677.0</v>
      </c>
      <c r="B21" s="8">
        <v>89780.0</v>
      </c>
      <c r="C21" s="8">
        <v>1406.0</v>
      </c>
      <c r="D21" s="33">
        <v>998.0</v>
      </c>
      <c r="E21" s="8">
        <v>18.0</v>
      </c>
      <c r="F21" s="33">
        <v>4343.0</v>
      </c>
    </row>
    <row r="22">
      <c r="A22" s="32">
        <v>45678.0</v>
      </c>
      <c r="B22" s="8">
        <v>79638.0</v>
      </c>
      <c r="C22" s="8">
        <v>1829.0</v>
      </c>
      <c r="D22" s="33">
        <v>1825.0</v>
      </c>
      <c r="E22" s="8">
        <v>30.0</v>
      </c>
      <c r="F22" s="33">
        <v>4958.0</v>
      </c>
    </row>
    <row r="23">
      <c r="A23" s="32">
        <v>45679.0</v>
      </c>
      <c r="B23" s="8">
        <v>56982.0</v>
      </c>
      <c r="C23" s="8">
        <v>596.0</v>
      </c>
      <c r="D23" s="33">
        <v>603.0</v>
      </c>
      <c r="E23" s="8">
        <v>11.0</v>
      </c>
      <c r="F23" s="33">
        <v>1558.0</v>
      </c>
    </row>
    <row r="24">
      <c r="A24" s="32">
        <v>45680.0</v>
      </c>
      <c r="B24" s="8">
        <v>25416.0</v>
      </c>
      <c r="C24" s="8">
        <v>196.0</v>
      </c>
      <c r="D24" s="33">
        <v>129.0</v>
      </c>
      <c r="E24" s="8">
        <v>3.0</v>
      </c>
      <c r="F24" s="33">
        <v>693.0</v>
      </c>
    </row>
    <row r="25">
      <c r="A25" s="32">
        <v>45681.0</v>
      </c>
      <c r="B25" s="8">
        <v>83714.0</v>
      </c>
      <c r="C25" s="8">
        <v>1288.0</v>
      </c>
      <c r="D25" s="33">
        <v>1499.0</v>
      </c>
      <c r="E25" s="8">
        <v>29.0</v>
      </c>
      <c r="F25" s="33">
        <v>5466.0</v>
      </c>
    </row>
    <row r="26">
      <c r="A26" s="32">
        <v>45682.0</v>
      </c>
      <c r="B26" s="8">
        <v>61918.0</v>
      </c>
      <c r="C26" s="8">
        <v>1513.0</v>
      </c>
      <c r="D26" s="33">
        <v>2129.0</v>
      </c>
      <c r="E26" s="8">
        <v>35.0</v>
      </c>
      <c r="F26" s="33">
        <v>6437.0</v>
      </c>
    </row>
    <row r="27">
      <c r="A27" s="32">
        <v>45683.0</v>
      </c>
      <c r="B27" s="8">
        <v>39505.0</v>
      </c>
      <c r="C27" s="8">
        <v>399.0</v>
      </c>
      <c r="D27" s="33">
        <v>454.0</v>
      </c>
      <c r="E27" s="8">
        <v>7.0</v>
      </c>
      <c r="F27" s="33">
        <v>1114.0</v>
      </c>
    </row>
    <row r="28">
      <c r="A28" s="32">
        <v>45684.0</v>
      </c>
      <c r="B28" s="8">
        <v>35645.0</v>
      </c>
      <c r="C28" s="8">
        <v>443.0</v>
      </c>
      <c r="D28" s="33">
        <v>593.0</v>
      </c>
      <c r="E28" s="8">
        <v>8.0</v>
      </c>
      <c r="F28" s="33">
        <v>1750.0</v>
      </c>
    </row>
    <row r="29">
      <c r="A29" s="32">
        <v>45685.0</v>
      </c>
      <c r="B29" s="8">
        <v>77867.0</v>
      </c>
      <c r="C29" s="8">
        <v>981.0</v>
      </c>
      <c r="D29" s="33">
        <v>1055.0</v>
      </c>
      <c r="E29" s="8">
        <v>23.0</v>
      </c>
      <c r="F29" s="33">
        <v>4255.0</v>
      </c>
    </row>
    <row r="30">
      <c r="A30" s="32">
        <v>45686.0</v>
      </c>
      <c r="B30" s="8">
        <v>40913.0</v>
      </c>
      <c r="C30" s="8">
        <v>929.0</v>
      </c>
      <c r="D30" s="33">
        <v>669.0</v>
      </c>
      <c r="E30" s="8">
        <v>17.0</v>
      </c>
      <c r="F30" s="33">
        <v>3399.0</v>
      </c>
    </row>
    <row r="31">
      <c r="A31" s="32">
        <v>45687.0</v>
      </c>
      <c r="B31" s="8">
        <v>64428.0</v>
      </c>
      <c r="C31" s="8">
        <v>2025.0</v>
      </c>
      <c r="D31" s="33">
        <v>1969.0</v>
      </c>
      <c r="E31" s="8">
        <v>30.0</v>
      </c>
      <c r="F31" s="33">
        <v>4442.0</v>
      </c>
    </row>
    <row r="32">
      <c r="A32" s="32">
        <v>45688.0</v>
      </c>
      <c r="B32" s="8">
        <v>93925.0</v>
      </c>
      <c r="C32" s="8">
        <v>1932.0</v>
      </c>
      <c r="D32" s="33">
        <v>2165.0</v>
      </c>
      <c r="E32" s="8">
        <v>36.0</v>
      </c>
      <c r="F32" s="33">
        <v>6059.0</v>
      </c>
    </row>
    <row r="33">
      <c r="A33" s="32">
        <v>45689.0</v>
      </c>
      <c r="B33" s="8">
        <v>115794.0</v>
      </c>
      <c r="C33" s="8">
        <v>3255.0</v>
      </c>
      <c r="D33" s="33">
        <v>2584.0</v>
      </c>
      <c r="E33" s="8">
        <v>61.0</v>
      </c>
      <c r="F33" s="33">
        <v>9359.0</v>
      </c>
    </row>
    <row r="34">
      <c r="A34" s="32">
        <v>45690.0</v>
      </c>
      <c r="B34" s="8">
        <v>39694.0</v>
      </c>
      <c r="C34" s="8">
        <v>514.0</v>
      </c>
      <c r="D34" s="33">
        <v>662.0</v>
      </c>
      <c r="E34" s="8">
        <v>9.0</v>
      </c>
      <c r="F34" s="33">
        <v>2087.0</v>
      </c>
    </row>
    <row r="35">
      <c r="A35" s="32">
        <v>45691.0</v>
      </c>
      <c r="B35" s="8">
        <v>37397.0</v>
      </c>
      <c r="C35" s="8">
        <v>807.0</v>
      </c>
      <c r="D35" s="33">
        <v>629.0</v>
      </c>
      <c r="E35" s="8">
        <v>17.0</v>
      </c>
      <c r="F35" s="33">
        <v>2780.0</v>
      </c>
    </row>
    <row r="36">
      <c r="A36" s="32">
        <v>45692.0</v>
      </c>
      <c r="B36" s="8">
        <v>23589.0</v>
      </c>
      <c r="C36" s="8">
        <v>480.0</v>
      </c>
      <c r="D36" s="33">
        <v>401.0</v>
      </c>
      <c r="E36" s="8">
        <v>8.0</v>
      </c>
      <c r="F36" s="33">
        <v>1138.0</v>
      </c>
    </row>
    <row r="37">
      <c r="A37" s="32">
        <v>45693.0</v>
      </c>
      <c r="B37" s="8">
        <v>92100.0</v>
      </c>
      <c r="C37" s="8">
        <v>2462.0</v>
      </c>
      <c r="D37" s="33">
        <v>2909.0</v>
      </c>
      <c r="E37" s="8">
        <v>43.0</v>
      </c>
      <c r="F37" s="33">
        <v>8356.0</v>
      </c>
    </row>
    <row r="38">
      <c r="A38" s="32">
        <v>45694.0</v>
      </c>
      <c r="B38" s="8">
        <v>93317.0</v>
      </c>
      <c r="C38" s="8">
        <v>1307.0</v>
      </c>
      <c r="D38" s="33">
        <v>1032.0</v>
      </c>
      <c r="E38" s="8">
        <v>23.0</v>
      </c>
      <c r="F38" s="33">
        <v>3098.0</v>
      </c>
    </row>
    <row r="39">
      <c r="A39" s="32">
        <v>45695.0</v>
      </c>
      <c r="B39" s="8">
        <v>105397.0</v>
      </c>
      <c r="C39" s="8">
        <v>2964.0</v>
      </c>
      <c r="D39" s="33">
        <v>2764.0</v>
      </c>
      <c r="E39" s="8">
        <v>50.0</v>
      </c>
      <c r="F39" s="33">
        <v>7707.0</v>
      </c>
    </row>
    <row r="40">
      <c r="A40" s="32">
        <v>45696.0</v>
      </c>
      <c r="B40" s="8">
        <v>83825.0</v>
      </c>
      <c r="C40" s="8">
        <v>1171.0</v>
      </c>
      <c r="D40" s="33">
        <v>821.0</v>
      </c>
      <c r="E40" s="8">
        <v>21.0</v>
      </c>
      <c r="F40" s="33">
        <v>3938.0</v>
      </c>
    </row>
    <row r="41">
      <c r="A41" s="32">
        <v>45697.0</v>
      </c>
      <c r="B41" s="8">
        <v>75195.0</v>
      </c>
      <c r="C41" s="8">
        <v>1865.0</v>
      </c>
      <c r="D41" s="33">
        <v>2223.0</v>
      </c>
      <c r="E41" s="8">
        <v>27.0</v>
      </c>
      <c r="F41" s="33">
        <v>3073.0</v>
      </c>
    </row>
    <row r="42">
      <c r="A42" s="32">
        <v>45698.0</v>
      </c>
      <c r="B42" s="8">
        <v>50744.0</v>
      </c>
      <c r="C42" s="8">
        <v>1266.0</v>
      </c>
      <c r="D42" s="33">
        <v>1055.0</v>
      </c>
      <c r="E42" s="8">
        <v>32.0</v>
      </c>
      <c r="F42" s="33">
        <v>7428.0</v>
      </c>
    </row>
    <row r="43">
      <c r="A43" s="32">
        <v>45699.0</v>
      </c>
      <c r="B43" s="8">
        <v>86190.0</v>
      </c>
      <c r="C43" s="8">
        <v>2396.0</v>
      </c>
      <c r="D43" s="33">
        <v>1604.0</v>
      </c>
      <c r="E43" s="8">
        <v>36.0</v>
      </c>
      <c r="F43" s="33">
        <v>6894.0</v>
      </c>
    </row>
    <row r="44">
      <c r="A44" s="32">
        <v>45700.0</v>
      </c>
      <c r="B44" s="8">
        <v>102631.0</v>
      </c>
      <c r="C44" s="8">
        <v>2023.0</v>
      </c>
      <c r="D44" s="33">
        <v>1562.0</v>
      </c>
      <c r="E44" s="8">
        <v>32.0</v>
      </c>
      <c r="F44" s="33">
        <v>5628.0</v>
      </c>
    </row>
    <row r="45">
      <c r="A45" s="32">
        <v>45701.0</v>
      </c>
      <c r="B45" s="8">
        <v>38591.0</v>
      </c>
      <c r="C45" s="8">
        <v>617.0</v>
      </c>
      <c r="D45" s="33">
        <v>672.0</v>
      </c>
      <c r="E45" s="8">
        <v>16.0</v>
      </c>
      <c r="F45" s="33">
        <v>2378.0</v>
      </c>
    </row>
    <row r="46">
      <c r="A46" s="32">
        <v>45702.0</v>
      </c>
      <c r="B46" s="8">
        <v>105603.0</v>
      </c>
      <c r="C46" s="8">
        <v>2186.0</v>
      </c>
      <c r="D46" s="33">
        <v>2095.0</v>
      </c>
      <c r="E46" s="8">
        <v>50.0</v>
      </c>
      <c r="F46" s="33">
        <v>7996.0</v>
      </c>
    </row>
    <row r="47">
      <c r="A47" s="32">
        <v>45703.0</v>
      </c>
      <c r="B47" s="8">
        <v>86755.0</v>
      </c>
      <c r="C47" s="8">
        <v>2521.0</v>
      </c>
      <c r="D47" s="33">
        <v>2970.0</v>
      </c>
      <c r="E47" s="8">
        <v>29.0</v>
      </c>
      <c r="F47" s="33">
        <v>5816.0</v>
      </c>
    </row>
    <row r="48">
      <c r="A48" s="32">
        <v>45704.0</v>
      </c>
      <c r="B48" s="8">
        <v>24397.0</v>
      </c>
      <c r="C48" s="8">
        <v>250.0</v>
      </c>
      <c r="D48" s="33">
        <v>258.0</v>
      </c>
      <c r="E48" s="8">
        <v>5.0</v>
      </c>
      <c r="F48" s="33">
        <v>827.0</v>
      </c>
    </row>
    <row r="49">
      <c r="A49" s="32">
        <v>45705.0</v>
      </c>
      <c r="B49" s="8">
        <v>22719.0</v>
      </c>
      <c r="C49" s="8">
        <v>217.0</v>
      </c>
      <c r="D49" s="33">
        <v>276.0</v>
      </c>
      <c r="E49" s="8">
        <v>3.0</v>
      </c>
      <c r="F49" s="33">
        <v>826.0</v>
      </c>
    </row>
    <row r="50">
      <c r="A50" s="32">
        <v>45706.0</v>
      </c>
      <c r="B50" s="8">
        <v>68469.0</v>
      </c>
      <c r="C50" s="8">
        <v>921.0</v>
      </c>
      <c r="D50" s="33">
        <v>1026.0</v>
      </c>
      <c r="E50" s="8">
        <v>11.0</v>
      </c>
      <c r="F50" s="33">
        <v>2197.0</v>
      </c>
    </row>
    <row r="51">
      <c r="A51" s="32">
        <v>45707.0</v>
      </c>
      <c r="B51" s="8">
        <v>35741.0</v>
      </c>
      <c r="C51" s="8">
        <v>784.0</v>
      </c>
      <c r="D51" s="33">
        <v>991.0</v>
      </c>
      <c r="E51" s="8">
        <v>12.0</v>
      </c>
      <c r="F51" s="33">
        <v>1610.0</v>
      </c>
    </row>
    <row r="52">
      <c r="A52" s="32">
        <v>45708.0</v>
      </c>
      <c r="B52" s="8">
        <v>92642.0</v>
      </c>
      <c r="C52" s="8">
        <v>1666.0</v>
      </c>
      <c r="D52" s="33">
        <v>1765.0</v>
      </c>
      <c r="E52" s="8">
        <v>38.0</v>
      </c>
      <c r="F52" s="33">
        <v>5719.0</v>
      </c>
    </row>
    <row r="53">
      <c r="A53" s="32">
        <v>45709.0</v>
      </c>
      <c r="B53" s="8">
        <v>108105.0</v>
      </c>
      <c r="C53" s="8">
        <v>1162.0</v>
      </c>
      <c r="D53" s="33">
        <v>1391.0</v>
      </c>
      <c r="E53" s="8">
        <v>17.0</v>
      </c>
      <c r="F53" s="33">
        <v>1856.0</v>
      </c>
    </row>
    <row r="54">
      <c r="A54" s="32">
        <v>45710.0</v>
      </c>
      <c r="B54" s="8">
        <v>81877.0</v>
      </c>
      <c r="C54" s="8">
        <v>1214.0</v>
      </c>
      <c r="D54" s="33">
        <v>1223.0</v>
      </c>
      <c r="E54" s="8">
        <v>18.0</v>
      </c>
      <c r="F54" s="33">
        <v>2602.0</v>
      </c>
    </row>
    <row r="55">
      <c r="A55" s="32">
        <v>45711.0</v>
      </c>
      <c r="B55" s="8">
        <v>103967.0</v>
      </c>
      <c r="C55" s="8">
        <v>1170.0</v>
      </c>
      <c r="D55" s="33">
        <v>1098.0</v>
      </c>
      <c r="E55" s="8">
        <v>27.0</v>
      </c>
      <c r="F55" s="33">
        <v>5713.0</v>
      </c>
    </row>
    <row r="56">
      <c r="A56" s="32">
        <v>45712.0</v>
      </c>
      <c r="B56" s="8">
        <v>27443.0</v>
      </c>
      <c r="C56" s="8">
        <v>632.0</v>
      </c>
      <c r="D56" s="33">
        <v>536.0</v>
      </c>
      <c r="E56" s="8">
        <v>7.0</v>
      </c>
      <c r="F56" s="33">
        <v>868.0</v>
      </c>
    </row>
    <row r="57">
      <c r="A57" s="32">
        <v>45713.0</v>
      </c>
      <c r="B57" s="8">
        <v>66742.0</v>
      </c>
      <c r="C57" s="8">
        <v>1199.0</v>
      </c>
      <c r="D57" s="33">
        <v>765.0</v>
      </c>
      <c r="E57" s="8">
        <v>19.0</v>
      </c>
      <c r="F57" s="33">
        <v>2334.0</v>
      </c>
    </row>
    <row r="58">
      <c r="A58" s="32">
        <v>45714.0</v>
      </c>
      <c r="B58" s="8">
        <v>94411.0</v>
      </c>
      <c r="C58" s="8">
        <v>2697.0</v>
      </c>
      <c r="D58" s="33">
        <v>2590.0</v>
      </c>
      <c r="E58" s="8">
        <v>44.0</v>
      </c>
      <c r="F58" s="33">
        <v>6715.0</v>
      </c>
    </row>
    <row r="59">
      <c r="A59" s="32">
        <v>45715.0</v>
      </c>
      <c r="B59" s="8">
        <v>59457.0</v>
      </c>
      <c r="C59" s="8">
        <v>1760.0</v>
      </c>
      <c r="D59" s="33">
        <v>1808.0</v>
      </c>
      <c r="E59" s="8">
        <v>18.0</v>
      </c>
      <c r="F59" s="33">
        <v>3936.0</v>
      </c>
    </row>
    <row r="60">
      <c r="A60" s="32">
        <v>45716.0</v>
      </c>
      <c r="B60" s="8">
        <v>26211.0</v>
      </c>
      <c r="C60" s="8">
        <v>208.0</v>
      </c>
      <c r="D60" s="33">
        <v>214.0</v>
      </c>
      <c r="E60" s="8">
        <v>2.0</v>
      </c>
      <c r="F60" s="33">
        <v>451.0</v>
      </c>
    </row>
    <row r="61">
      <c r="A61" s="32">
        <v>45717.0</v>
      </c>
      <c r="B61" s="8">
        <v>85553.0</v>
      </c>
      <c r="C61" s="8">
        <v>1511.0</v>
      </c>
      <c r="D61" s="33">
        <v>1327.0</v>
      </c>
      <c r="E61" s="8">
        <v>37.0</v>
      </c>
      <c r="F61" s="33">
        <v>5908.0</v>
      </c>
    </row>
    <row r="62">
      <c r="A62" s="32">
        <v>45718.0</v>
      </c>
      <c r="B62" s="8">
        <v>54557.0</v>
      </c>
      <c r="C62" s="8">
        <v>1540.0</v>
      </c>
      <c r="D62" s="33">
        <v>1786.0</v>
      </c>
      <c r="E62" s="8">
        <v>29.0</v>
      </c>
      <c r="F62" s="33">
        <v>4767.0</v>
      </c>
    </row>
    <row r="63">
      <c r="A63" s="32">
        <v>45719.0</v>
      </c>
      <c r="B63" s="8">
        <v>33309.0</v>
      </c>
      <c r="C63" s="8">
        <v>657.0</v>
      </c>
      <c r="D63" s="33">
        <v>604.0</v>
      </c>
      <c r="E63" s="8">
        <v>16.0</v>
      </c>
      <c r="F63" s="33">
        <v>3225.0</v>
      </c>
    </row>
    <row r="64">
      <c r="A64" s="32">
        <v>45720.0</v>
      </c>
      <c r="B64" s="8">
        <v>41657.0</v>
      </c>
      <c r="C64" s="8">
        <v>661.0</v>
      </c>
      <c r="D64" s="33">
        <v>637.0</v>
      </c>
      <c r="E64" s="8">
        <v>12.0</v>
      </c>
      <c r="F64" s="33">
        <v>2391.0</v>
      </c>
    </row>
    <row r="65">
      <c r="A65" s="32">
        <v>45721.0</v>
      </c>
      <c r="B65" s="8">
        <v>68691.0</v>
      </c>
      <c r="C65" s="8">
        <v>1756.0</v>
      </c>
      <c r="D65" s="33">
        <v>1700.0</v>
      </c>
      <c r="E65" s="8">
        <v>37.0</v>
      </c>
      <c r="F65" s="33">
        <v>4394.0</v>
      </c>
    </row>
    <row r="66">
      <c r="A66" s="32">
        <v>45722.0</v>
      </c>
      <c r="B66" s="8">
        <v>65226.0</v>
      </c>
      <c r="C66" s="8">
        <v>1583.0</v>
      </c>
      <c r="D66" s="33">
        <v>1268.0</v>
      </c>
      <c r="E66" s="8">
        <v>25.0</v>
      </c>
      <c r="F66" s="33">
        <v>4588.0</v>
      </c>
    </row>
    <row r="67">
      <c r="A67" s="32">
        <v>45723.0</v>
      </c>
      <c r="B67" s="8">
        <v>35908.0</v>
      </c>
      <c r="C67" s="8">
        <v>770.0</v>
      </c>
      <c r="D67" s="33">
        <v>522.0</v>
      </c>
      <c r="E67" s="8">
        <v>13.0</v>
      </c>
      <c r="F67" s="33">
        <v>1516.0</v>
      </c>
    </row>
    <row r="68">
      <c r="A68" s="32">
        <v>45724.0</v>
      </c>
      <c r="B68" s="8">
        <v>90050.0</v>
      </c>
      <c r="C68" s="8">
        <v>2615.0</v>
      </c>
      <c r="D68" s="33">
        <v>1567.0</v>
      </c>
      <c r="E68" s="8">
        <v>53.0</v>
      </c>
      <c r="F68" s="33">
        <v>5792.0</v>
      </c>
    </row>
    <row r="69">
      <c r="A69" s="32">
        <v>45725.0</v>
      </c>
      <c r="B69" s="8">
        <v>82917.0</v>
      </c>
      <c r="C69" s="8">
        <v>2378.0</v>
      </c>
      <c r="D69" s="33">
        <v>2304.0</v>
      </c>
      <c r="E69" s="8">
        <v>54.0</v>
      </c>
      <c r="F69" s="33">
        <v>8599.0</v>
      </c>
    </row>
    <row r="70">
      <c r="A70" s="32">
        <v>45726.0</v>
      </c>
      <c r="B70" s="8">
        <v>90435.0</v>
      </c>
      <c r="C70" s="8">
        <v>2385.0</v>
      </c>
      <c r="D70" s="33">
        <v>2386.0</v>
      </c>
      <c r="E70" s="8">
        <v>51.0</v>
      </c>
      <c r="F70" s="33">
        <v>8951.0</v>
      </c>
    </row>
    <row r="71">
      <c r="A71" s="32">
        <v>45727.0</v>
      </c>
      <c r="B71" s="8">
        <v>45828.0</v>
      </c>
      <c r="C71" s="8">
        <v>1072.0</v>
      </c>
      <c r="D71" s="33">
        <v>706.0</v>
      </c>
      <c r="E71" s="8">
        <v>12.0</v>
      </c>
      <c r="F71" s="33">
        <v>2348.0</v>
      </c>
    </row>
    <row r="72">
      <c r="A72" s="32">
        <v>45728.0</v>
      </c>
      <c r="B72" s="8">
        <v>96808.0</v>
      </c>
      <c r="C72" s="8">
        <v>2074.0</v>
      </c>
      <c r="D72" s="33">
        <v>1658.0</v>
      </c>
      <c r="E72" s="8">
        <v>36.0</v>
      </c>
      <c r="F72" s="33">
        <v>6226.0</v>
      </c>
    </row>
    <row r="73">
      <c r="A73" s="32">
        <v>45729.0</v>
      </c>
      <c r="B73" s="8">
        <v>36019.0</v>
      </c>
      <c r="C73" s="8">
        <v>662.0</v>
      </c>
      <c r="D73" s="33">
        <v>540.0</v>
      </c>
      <c r="E73" s="8">
        <v>11.0</v>
      </c>
      <c r="F73" s="33">
        <v>1754.0</v>
      </c>
    </row>
    <row r="74">
      <c r="A74" s="32">
        <v>45730.0</v>
      </c>
      <c r="B74" s="8">
        <v>65734.0</v>
      </c>
      <c r="C74" s="8">
        <v>828.0</v>
      </c>
      <c r="D74" s="33">
        <v>949.0</v>
      </c>
      <c r="E74" s="8">
        <v>11.0</v>
      </c>
      <c r="F74" s="33">
        <v>1161.0</v>
      </c>
    </row>
    <row r="75">
      <c r="A75" s="32">
        <v>45731.0</v>
      </c>
      <c r="B75" s="8">
        <v>34177.0</v>
      </c>
      <c r="C75" s="8">
        <v>381.0</v>
      </c>
      <c r="D75" s="33">
        <v>279.0</v>
      </c>
      <c r="E75" s="8">
        <v>6.0</v>
      </c>
      <c r="F75" s="33">
        <v>1258.0</v>
      </c>
    </row>
    <row r="76">
      <c r="A76" s="32">
        <v>45732.0</v>
      </c>
      <c r="B76" s="8">
        <v>39087.0</v>
      </c>
      <c r="C76" s="8">
        <v>640.0</v>
      </c>
      <c r="D76" s="33">
        <v>744.0</v>
      </c>
      <c r="E76" s="8">
        <v>10.0</v>
      </c>
      <c r="F76" s="33">
        <v>1362.0</v>
      </c>
    </row>
    <row r="77">
      <c r="A77" s="32">
        <v>45733.0</v>
      </c>
      <c r="B77" s="8">
        <v>66428.0</v>
      </c>
      <c r="C77" s="8">
        <v>1746.0</v>
      </c>
      <c r="D77" s="33">
        <v>2045.0</v>
      </c>
      <c r="E77" s="8">
        <v>44.0</v>
      </c>
      <c r="F77" s="33">
        <v>9133.0</v>
      </c>
    </row>
    <row r="78">
      <c r="A78" s="32">
        <v>45734.0</v>
      </c>
      <c r="B78" s="8">
        <v>49952.0</v>
      </c>
      <c r="C78" s="8">
        <v>850.0</v>
      </c>
      <c r="D78" s="33">
        <v>897.0</v>
      </c>
      <c r="E78" s="8">
        <v>12.0</v>
      </c>
      <c r="F78" s="33">
        <v>1450.0</v>
      </c>
    </row>
    <row r="79">
      <c r="A79" s="32">
        <v>45735.0</v>
      </c>
      <c r="B79" s="8">
        <v>38705.0</v>
      </c>
      <c r="C79" s="8">
        <v>706.0</v>
      </c>
      <c r="D79" s="33">
        <v>629.0</v>
      </c>
      <c r="E79" s="8">
        <v>15.0</v>
      </c>
      <c r="F79" s="33">
        <v>3294.0</v>
      </c>
    </row>
    <row r="80">
      <c r="A80" s="32">
        <v>45736.0</v>
      </c>
      <c r="B80" s="8">
        <v>104415.0</v>
      </c>
      <c r="C80" s="8">
        <v>1123.0</v>
      </c>
      <c r="D80" s="33">
        <v>1296.0</v>
      </c>
      <c r="E80" s="8">
        <v>25.0</v>
      </c>
      <c r="F80" s="33">
        <v>5154.0</v>
      </c>
    </row>
    <row r="81">
      <c r="A81" s="32">
        <v>45737.0</v>
      </c>
      <c r="B81" s="8">
        <v>45418.0</v>
      </c>
      <c r="C81" s="8">
        <v>877.0</v>
      </c>
      <c r="D81" s="33">
        <v>1060.0</v>
      </c>
      <c r="E81" s="8">
        <v>18.0</v>
      </c>
      <c r="F81" s="33">
        <v>2053.0</v>
      </c>
    </row>
    <row r="82">
      <c r="A82" s="32">
        <v>45738.0</v>
      </c>
      <c r="B82" s="8">
        <v>43038.0</v>
      </c>
      <c r="C82" s="8">
        <v>1140.0</v>
      </c>
      <c r="D82" s="33">
        <v>1034.0</v>
      </c>
      <c r="E82" s="8">
        <v>18.0</v>
      </c>
      <c r="F82" s="33">
        <v>2734.0</v>
      </c>
    </row>
    <row r="83">
      <c r="A83" s="32">
        <v>45739.0</v>
      </c>
      <c r="B83" s="8">
        <v>112277.0</v>
      </c>
      <c r="C83" s="8">
        <v>2162.0</v>
      </c>
      <c r="D83" s="33">
        <v>1808.0</v>
      </c>
      <c r="E83" s="8">
        <v>36.0</v>
      </c>
      <c r="F83" s="33">
        <v>5134.0</v>
      </c>
    </row>
    <row r="84">
      <c r="A84" s="32">
        <v>45740.0</v>
      </c>
      <c r="B84" s="8">
        <v>19294.0</v>
      </c>
      <c r="C84" s="8">
        <v>142.0</v>
      </c>
      <c r="D84" s="33">
        <v>167.0</v>
      </c>
      <c r="E84" s="8">
        <v>1.0</v>
      </c>
      <c r="F84" s="33">
        <v>271.0</v>
      </c>
    </row>
    <row r="85">
      <c r="A85" s="32">
        <v>45741.0</v>
      </c>
      <c r="B85" s="8">
        <v>85477.0</v>
      </c>
      <c r="C85" s="8">
        <v>2285.0</v>
      </c>
      <c r="D85" s="33">
        <v>2603.0</v>
      </c>
      <c r="E85" s="8">
        <v>41.0</v>
      </c>
      <c r="F85" s="33">
        <v>4688.0</v>
      </c>
    </row>
    <row r="86">
      <c r="A86" s="32">
        <v>45742.0</v>
      </c>
      <c r="B86" s="8">
        <v>35785.0</v>
      </c>
      <c r="C86" s="8">
        <v>691.0</v>
      </c>
      <c r="D86" s="33">
        <v>527.0</v>
      </c>
      <c r="E86" s="8">
        <v>15.0</v>
      </c>
      <c r="F86" s="33">
        <v>1920.0</v>
      </c>
    </row>
    <row r="87">
      <c r="A87" s="32">
        <v>45743.0</v>
      </c>
      <c r="B87" s="8">
        <v>91829.0</v>
      </c>
      <c r="C87" s="8">
        <v>1356.0</v>
      </c>
      <c r="D87" s="33">
        <v>1034.0</v>
      </c>
      <c r="E87" s="8">
        <v>26.0</v>
      </c>
      <c r="F87" s="33">
        <v>3449.0</v>
      </c>
    </row>
    <row r="88">
      <c r="A88" s="32">
        <v>45744.0</v>
      </c>
      <c r="B88" s="8">
        <v>25201.0</v>
      </c>
      <c r="C88" s="8">
        <v>403.0</v>
      </c>
      <c r="D88" s="33">
        <v>331.0</v>
      </c>
      <c r="E88" s="8">
        <v>6.0</v>
      </c>
      <c r="F88" s="33">
        <v>1213.0</v>
      </c>
    </row>
    <row r="89">
      <c r="A89" s="32">
        <v>45745.0</v>
      </c>
      <c r="B89" s="8">
        <v>83832.0</v>
      </c>
      <c r="C89" s="8">
        <v>2838.0</v>
      </c>
      <c r="D89" s="33">
        <v>3230.0</v>
      </c>
      <c r="E89" s="8">
        <v>42.0</v>
      </c>
      <c r="F89" s="33">
        <v>7423.0</v>
      </c>
    </row>
    <row r="90">
      <c r="A90" s="32">
        <v>45746.0</v>
      </c>
      <c r="B90" s="8">
        <v>65661.0</v>
      </c>
      <c r="C90" s="8">
        <v>969.0</v>
      </c>
      <c r="D90" s="33">
        <v>720.0</v>
      </c>
      <c r="E90" s="8">
        <v>15.0</v>
      </c>
      <c r="F90" s="33">
        <v>1723.0</v>
      </c>
    </row>
    <row r="91">
      <c r="A91" s="32">
        <v>45747.0</v>
      </c>
      <c r="B91" s="8">
        <v>60497.0</v>
      </c>
      <c r="C91" s="8">
        <v>835.0</v>
      </c>
      <c r="D91" s="33">
        <v>735.0</v>
      </c>
      <c r="E91" s="8">
        <v>18.0</v>
      </c>
      <c r="F91" s="33">
        <v>2162.0</v>
      </c>
    </row>
    <row r="92">
      <c r="A92" s="32">
        <v>45748.0</v>
      </c>
      <c r="B92" s="8">
        <v>75083.0</v>
      </c>
      <c r="C92" s="8">
        <v>1549.0</v>
      </c>
      <c r="D92" s="33">
        <v>1350.0</v>
      </c>
      <c r="E92" s="8">
        <v>29.0</v>
      </c>
      <c r="F92" s="33">
        <v>3323.0</v>
      </c>
    </row>
    <row r="93">
      <c r="A93" s="32">
        <v>45749.0</v>
      </c>
      <c r="B93" s="8">
        <v>106776.0</v>
      </c>
      <c r="C93" s="8">
        <v>2376.0</v>
      </c>
      <c r="D93" s="33">
        <v>2466.0</v>
      </c>
      <c r="E93" s="8">
        <v>51.0</v>
      </c>
      <c r="F93" s="33">
        <v>6117.0</v>
      </c>
    </row>
    <row r="94">
      <c r="A94" s="32">
        <v>45750.0</v>
      </c>
      <c r="B94" s="8">
        <v>38478.0</v>
      </c>
      <c r="C94" s="8">
        <v>394.0</v>
      </c>
      <c r="D94" s="33">
        <v>394.0</v>
      </c>
      <c r="E94" s="8">
        <v>7.0</v>
      </c>
      <c r="F94" s="33">
        <v>970.0</v>
      </c>
    </row>
    <row r="95">
      <c r="A95" s="32">
        <v>45751.0</v>
      </c>
      <c r="B95" s="8">
        <v>88425.0</v>
      </c>
      <c r="C95" s="8">
        <v>2853.0</v>
      </c>
      <c r="D95" s="33">
        <v>2412.0</v>
      </c>
      <c r="E95" s="8">
        <v>59.0</v>
      </c>
      <c r="F95" s="33">
        <v>8104.0</v>
      </c>
    </row>
    <row r="96">
      <c r="A96" s="32">
        <v>45752.0</v>
      </c>
      <c r="B96" s="8">
        <v>29606.0</v>
      </c>
      <c r="C96" s="8">
        <v>602.0</v>
      </c>
      <c r="D96" s="33">
        <v>564.0</v>
      </c>
      <c r="E96" s="8">
        <v>8.0</v>
      </c>
      <c r="F96" s="33">
        <v>942.0</v>
      </c>
    </row>
    <row r="97">
      <c r="A97" s="32">
        <v>45753.0</v>
      </c>
      <c r="B97" s="8">
        <v>110299.0</v>
      </c>
      <c r="C97" s="8">
        <v>2037.0</v>
      </c>
      <c r="D97" s="33">
        <v>2356.0</v>
      </c>
      <c r="E97" s="8">
        <v>37.0</v>
      </c>
      <c r="F97" s="33">
        <v>6077.0</v>
      </c>
    </row>
    <row r="98">
      <c r="A98" s="32">
        <v>45754.0</v>
      </c>
      <c r="B98" s="8">
        <v>95139.0</v>
      </c>
      <c r="C98" s="8">
        <v>2806.0</v>
      </c>
      <c r="D98" s="33">
        <v>3061.0</v>
      </c>
      <c r="E98" s="8">
        <v>51.0</v>
      </c>
      <c r="F98" s="33">
        <v>7430.0</v>
      </c>
    </row>
    <row r="99">
      <c r="A99" s="32">
        <v>45755.0</v>
      </c>
      <c r="B99" s="8">
        <v>102095.0</v>
      </c>
      <c r="C99" s="8">
        <v>2350.0</v>
      </c>
      <c r="D99" s="33">
        <v>2904.0</v>
      </c>
      <c r="E99" s="8">
        <v>37.0</v>
      </c>
      <c r="F99" s="33">
        <v>6922.0</v>
      </c>
    </row>
    <row r="100">
      <c r="A100" s="32">
        <v>45756.0</v>
      </c>
      <c r="B100" s="8">
        <v>66319.0</v>
      </c>
      <c r="C100" s="8">
        <v>788.0</v>
      </c>
      <c r="D100" s="33">
        <v>679.0</v>
      </c>
      <c r="E100" s="8">
        <v>15.0</v>
      </c>
      <c r="F100" s="33">
        <v>1737.0</v>
      </c>
    </row>
    <row r="101">
      <c r="A101" s="32">
        <v>45757.0</v>
      </c>
      <c r="B101" s="8">
        <v>64829.0</v>
      </c>
      <c r="C101" s="8">
        <v>1139.0</v>
      </c>
      <c r="D101" s="33">
        <v>962.0</v>
      </c>
      <c r="E101" s="8">
        <v>15.0</v>
      </c>
      <c r="F101" s="33">
        <v>2077.0</v>
      </c>
    </row>
    <row r="102">
      <c r="A102" s="32">
        <v>45758.0</v>
      </c>
      <c r="B102" s="8">
        <v>77950.0</v>
      </c>
      <c r="C102" s="8">
        <v>2622.0</v>
      </c>
      <c r="D102" s="33">
        <v>2303.0</v>
      </c>
      <c r="E102" s="8">
        <v>44.0</v>
      </c>
      <c r="F102" s="33">
        <v>8218.0</v>
      </c>
    </row>
    <row r="103">
      <c r="A103" s="32">
        <v>45759.0</v>
      </c>
      <c r="B103" s="8">
        <v>109882.0</v>
      </c>
      <c r="C103" s="8">
        <v>2216.0</v>
      </c>
      <c r="D103" s="33">
        <v>1513.0</v>
      </c>
      <c r="E103" s="8">
        <v>25.0</v>
      </c>
      <c r="F103" s="33">
        <v>2999.0</v>
      </c>
    </row>
    <row r="104">
      <c r="A104" s="32">
        <v>45760.0</v>
      </c>
      <c r="B104" s="8">
        <v>30168.0</v>
      </c>
      <c r="C104" s="8">
        <v>534.0</v>
      </c>
      <c r="D104" s="33">
        <v>575.0</v>
      </c>
      <c r="E104" s="8">
        <v>7.0</v>
      </c>
      <c r="F104" s="33">
        <v>1149.0</v>
      </c>
    </row>
    <row r="105">
      <c r="A105" s="32">
        <v>45761.0</v>
      </c>
      <c r="B105" s="8">
        <v>87700.0</v>
      </c>
      <c r="C105" s="8">
        <v>1213.0</v>
      </c>
      <c r="D105" s="33">
        <v>1132.0</v>
      </c>
      <c r="E105" s="8">
        <v>27.0</v>
      </c>
      <c r="F105" s="33">
        <v>4369.0</v>
      </c>
    </row>
    <row r="106">
      <c r="A106" s="32">
        <v>45762.0</v>
      </c>
      <c r="B106" s="8">
        <v>97251.0</v>
      </c>
      <c r="C106" s="8">
        <v>2596.0</v>
      </c>
      <c r="D106" s="33">
        <v>3362.0</v>
      </c>
      <c r="E106" s="8">
        <v>41.0</v>
      </c>
      <c r="F106" s="33">
        <v>8217.0</v>
      </c>
    </row>
    <row r="107">
      <c r="A107" s="32">
        <v>45763.0</v>
      </c>
      <c r="B107" s="8">
        <v>34338.0</v>
      </c>
      <c r="C107" s="8">
        <v>468.0</v>
      </c>
      <c r="D107" s="33">
        <v>292.0</v>
      </c>
      <c r="E107" s="8">
        <v>10.0</v>
      </c>
      <c r="F107" s="33">
        <v>1686.0</v>
      </c>
    </row>
    <row r="108">
      <c r="A108" s="32">
        <v>45764.0</v>
      </c>
      <c r="B108" s="8">
        <v>97838.0</v>
      </c>
      <c r="C108" s="8">
        <v>1187.0</v>
      </c>
      <c r="D108" s="33">
        <v>1620.0</v>
      </c>
      <c r="E108" s="8">
        <v>26.0</v>
      </c>
      <c r="F108" s="33">
        <v>4553.0</v>
      </c>
    </row>
    <row r="109">
      <c r="A109" s="32">
        <v>45765.0</v>
      </c>
      <c r="B109" s="8">
        <v>111480.0</v>
      </c>
      <c r="C109" s="8">
        <v>2388.0</v>
      </c>
      <c r="D109" s="33">
        <v>1933.0</v>
      </c>
      <c r="E109" s="8">
        <v>54.0</v>
      </c>
      <c r="F109" s="33">
        <v>7744.0</v>
      </c>
    </row>
    <row r="110">
      <c r="A110" s="32">
        <v>45766.0</v>
      </c>
      <c r="B110" s="8">
        <v>31279.0</v>
      </c>
      <c r="C110" s="8">
        <v>504.0</v>
      </c>
      <c r="D110" s="33">
        <v>595.0</v>
      </c>
      <c r="E110" s="8">
        <v>5.0</v>
      </c>
      <c r="F110" s="33">
        <v>832.0</v>
      </c>
    </row>
    <row r="111">
      <c r="A111" s="32">
        <v>45767.0</v>
      </c>
      <c r="B111" s="8">
        <v>50596.0</v>
      </c>
      <c r="C111" s="8">
        <v>903.0</v>
      </c>
      <c r="D111" s="33">
        <v>927.0</v>
      </c>
      <c r="E111" s="8">
        <v>21.0</v>
      </c>
      <c r="F111" s="33">
        <v>3780.0</v>
      </c>
    </row>
    <row r="112">
      <c r="A112" s="32">
        <v>45768.0</v>
      </c>
      <c r="B112" s="8">
        <v>100697.0</v>
      </c>
      <c r="C112" s="8">
        <v>2694.0</v>
      </c>
      <c r="D112" s="33">
        <v>2923.0</v>
      </c>
      <c r="E112" s="8">
        <v>69.0</v>
      </c>
      <c r="F112" s="33">
        <v>11284.0</v>
      </c>
    </row>
    <row r="113">
      <c r="A113" s="32">
        <v>45769.0</v>
      </c>
      <c r="B113" s="8">
        <v>102536.0</v>
      </c>
      <c r="C113" s="8">
        <v>2354.0</v>
      </c>
      <c r="D113" s="33">
        <v>2801.0</v>
      </c>
      <c r="E113" s="8">
        <v>36.0</v>
      </c>
      <c r="F113" s="33">
        <v>5763.0</v>
      </c>
    </row>
    <row r="114">
      <c r="A114" s="32">
        <v>45770.0</v>
      </c>
      <c r="B114" s="8">
        <v>89706.0</v>
      </c>
      <c r="C114" s="8">
        <v>2802.0</v>
      </c>
      <c r="D114" s="33">
        <v>1535.0</v>
      </c>
      <c r="E114" s="8">
        <v>52.0</v>
      </c>
      <c r="F114" s="33">
        <v>7724.0</v>
      </c>
    </row>
    <row r="115">
      <c r="A115" s="32">
        <v>45771.0</v>
      </c>
      <c r="B115" s="8">
        <v>101868.0</v>
      </c>
      <c r="C115" s="8">
        <v>1180.0</v>
      </c>
      <c r="D115" s="33">
        <v>1727.0</v>
      </c>
      <c r="E115" s="8">
        <v>29.0</v>
      </c>
      <c r="F115" s="33">
        <v>4524.0</v>
      </c>
    </row>
    <row r="116">
      <c r="A116" s="32">
        <v>45772.0</v>
      </c>
      <c r="B116" s="8">
        <v>51639.0</v>
      </c>
      <c r="C116" s="8">
        <v>1362.0</v>
      </c>
      <c r="D116" s="33">
        <v>1642.0</v>
      </c>
      <c r="E116" s="8">
        <v>28.0</v>
      </c>
      <c r="F116" s="33">
        <v>5669.0</v>
      </c>
    </row>
    <row r="117">
      <c r="A117" s="32">
        <v>45773.0</v>
      </c>
      <c r="B117" s="8">
        <v>84816.0</v>
      </c>
      <c r="C117" s="8">
        <v>1259.0</v>
      </c>
      <c r="D117" s="33">
        <v>1403.0</v>
      </c>
      <c r="E117" s="8">
        <v>27.0</v>
      </c>
      <c r="F117" s="33">
        <v>4630.0</v>
      </c>
    </row>
    <row r="118">
      <c r="A118" s="32">
        <v>45774.0</v>
      </c>
      <c r="B118" s="8">
        <v>39447.0</v>
      </c>
      <c r="C118" s="8">
        <v>656.0</v>
      </c>
      <c r="D118" s="33">
        <v>770.0</v>
      </c>
      <c r="E118" s="8">
        <v>11.0</v>
      </c>
      <c r="F118" s="33">
        <v>1508.0</v>
      </c>
    </row>
    <row r="119">
      <c r="A119" s="32">
        <v>45775.0</v>
      </c>
      <c r="B119" s="8">
        <v>76707.0</v>
      </c>
      <c r="C119" s="8">
        <v>879.0</v>
      </c>
      <c r="D119" s="33">
        <v>733.0</v>
      </c>
      <c r="E119" s="8">
        <v>17.0</v>
      </c>
      <c r="F119" s="33">
        <v>2954.0</v>
      </c>
    </row>
    <row r="120">
      <c r="A120" s="32">
        <v>45776.0</v>
      </c>
      <c r="B120" s="8">
        <v>53101.0</v>
      </c>
      <c r="C120" s="8">
        <v>993.0</v>
      </c>
      <c r="D120" s="33">
        <v>830.0</v>
      </c>
      <c r="E120" s="8">
        <v>19.0</v>
      </c>
      <c r="F120" s="33">
        <v>2771.0</v>
      </c>
    </row>
    <row r="121">
      <c r="A121" s="32">
        <v>45777.0</v>
      </c>
      <c r="B121" s="8">
        <v>76471.0</v>
      </c>
      <c r="C121" s="8">
        <v>1696.0</v>
      </c>
      <c r="D121" s="33">
        <v>1769.0</v>
      </c>
      <c r="E121" s="8">
        <v>30.0</v>
      </c>
      <c r="F121" s="33">
        <v>4114.0</v>
      </c>
    </row>
    <row r="122">
      <c r="A122" s="32">
        <v>45778.0</v>
      </c>
      <c r="B122" s="8">
        <v>24448.0</v>
      </c>
      <c r="C122" s="8">
        <v>256.0</v>
      </c>
      <c r="D122" s="33">
        <v>238.0</v>
      </c>
      <c r="E122" s="8">
        <v>5.0</v>
      </c>
      <c r="F122" s="33">
        <v>766.0</v>
      </c>
    </row>
    <row r="123">
      <c r="A123" s="32">
        <v>45779.0</v>
      </c>
      <c r="B123" s="8">
        <v>107312.0</v>
      </c>
      <c r="C123" s="8">
        <v>1699.0</v>
      </c>
      <c r="D123" s="33">
        <v>1489.0</v>
      </c>
      <c r="E123" s="8">
        <v>31.0</v>
      </c>
      <c r="F123" s="33">
        <v>3449.0</v>
      </c>
    </row>
    <row r="124">
      <c r="A124" s="32">
        <v>45780.0</v>
      </c>
      <c r="B124" s="8">
        <v>66041.0</v>
      </c>
      <c r="C124" s="8">
        <v>1702.0</v>
      </c>
      <c r="D124" s="33">
        <v>1890.0</v>
      </c>
      <c r="E124" s="8">
        <v>30.0</v>
      </c>
      <c r="F124" s="33">
        <v>4232.0</v>
      </c>
    </row>
    <row r="125">
      <c r="A125" s="32">
        <v>45781.0</v>
      </c>
      <c r="B125" s="8">
        <v>67456.0</v>
      </c>
      <c r="C125" s="8">
        <v>1814.0</v>
      </c>
      <c r="D125" s="33">
        <v>1683.0</v>
      </c>
      <c r="E125" s="8">
        <v>38.0</v>
      </c>
      <c r="F125" s="33">
        <v>5888.0</v>
      </c>
    </row>
    <row r="126">
      <c r="A126" s="32">
        <v>45782.0</v>
      </c>
      <c r="B126" s="8">
        <v>105881.0</v>
      </c>
      <c r="C126" s="8">
        <v>2191.0</v>
      </c>
      <c r="D126" s="33">
        <v>2368.0</v>
      </c>
      <c r="E126" s="8">
        <v>55.0</v>
      </c>
      <c r="F126" s="33">
        <v>8333.0</v>
      </c>
    </row>
    <row r="127">
      <c r="A127" s="32">
        <v>45783.0</v>
      </c>
      <c r="B127" s="8">
        <v>63438.0</v>
      </c>
      <c r="C127" s="8">
        <v>1031.0</v>
      </c>
      <c r="D127" s="33">
        <v>709.0</v>
      </c>
      <c r="E127" s="8">
        <v>21.0</v>
      </c>
      <c r="F127" s="33">
        <v>3399.0</v>
      </c>
    </row>
    <row r="128">
      <c r="A128" s="32">
        <v>45784.0</v>
      </c>
      <c r="B128" s="8">
        <v>80609.0</v>
      </c>
      <c r="C128" s="8">
        <v>2134.0</v>
      </c>
      <c r="D128" s="33">
        <v>2905.0</v>
      </c>
      <c r="E128" s="8">
        <v>33.0</v>
      </c>
      <c r="F128" s="33">
        <v>3394.0</v>
      </c>
    </row>
    <row r="129">
      <c r="A129" s="32">
        <v>45785.0</v>
      </c>
      <c r="B129" s="8">
        <v>36438.0</v>
      </c>
      <c r="C129" s="8">
        <v>542.0</v>
      </c>
      <c r="D129" s="33">
        <v>424.0</v>
      </c>
      <c r="E129" s="8">
        <v>7.0</v>
      </c>
      <c r="F129" s="33">
        <v>1127.0</v>
      </c>
    </row>
    <row r="130">
      <c r="A130" s="32">
        <v>45786.0</v>
      </c>
      <c r="B130" s="8">
        <v>85077.0</v>
      </c>
      <c r="C130" s="8">
        <v>2322.0</v>
      </c>
      <c r="D130" s="33">
        <v>1996.0</v>
      </c>
      <c r="E130" s="8">
        <v>55.0</v>
      </c>
      <c r="F130" s="33">
        <v>7949.0</v>
      </c>
    </row>
    <row r="131">
      <c r="A131" s="32">
        <v>45787.0</v>
      </c>
      <c r="B131" s="8">
        <v>73834.0</v>
      </c>
      <c r="C131" s="8">
        <v>2410.0</v>
      </c>
      <c r="D131" s="33">
        <v>2808.0</v>
      </c>
      <c r="E131" s="8">
        <v>48.0</v>
      </c>
      <c r="F131" s="33">
        <v>7077.0</v>
      </c>
    </row>
    <row r="132">
      <c r="A132" s="32">
        <v>45788.0</v>
      </c>
      <c r="B132" s="8">
        <v>21139.0</v>
      </c>
      <c r="C132" s="8">
        <v>275.0</v>
      </c>
      <c r="D132" s="33">
        <v>350.0</v>
      </c>
      <c r="E132" s="8">
        <v>5.0</v>
      </c>
      <c r="F132" s="33">
        <v>615.0</v>
      </c>
    </row>
    <row r="133">
      <c r="A133" s="32">
        <v>45789.0</v>
      </c>
      <c r="B133" s="8">
        <v>37740.0</v>
      </c>
      <c r="C133" s="8">
        <v>955.0</v>
      </c>
      <c r="D133" s="33">
        <v>1079.0</v>
      </c>
      <c r="E133" s="8">
        <v>14.0</v>
      </c>
      <c r="F133" s="33">
        <v>3124.0</v>
      </c>
    </row>
    <row r="134">
      <c r="A134" s="32">
        <v>45790.0</v>
      </c>
      <c r="B134" s="8">
        <v>52306.0</v>
      </c>
      <c r="C134" s="8">
        <v>932.0</v>
      </c>
      <c r="D134" s="33">
        <v>904.0</v>
      </c>
      <c r="E134" s="8">
        <v>17.0</v>
      </c>
      <c r="F134" s="33">
        <v>2288.0</v>
      </c>
    </row>
    <row r="135">
      <c r="A135" s="32">
        <v>45791.0</v>
      </c>
      <c r="B135" s="8">
        <v>117564.0</v>
      </c>
      <c r="C135" s="8">
        <v>1981.0</v>
      </c>
      <c r="D135" s="33">
        <v>2552.0</v>
      </c>
      <c r="E135" s="8">
        <v>25.0</v>
      </c>
      <c r="F135" s="33">
        <v>2710.0</v>
      </c>
    </row>
    <row r="136">
      <c r="A136" s="32">
        <v>45792.0</v>
      </c>
      <c r="B136" s="8">
        <v>25364.0</v>
      </c>
      <c r="C136" s="8">
        <v>434.0</v>
      </c>
      <c r="D136" s="33">
        <v>294.0</v>
      </c>
      <c r="E136" s="8">
        <v>11.0</v>
      </c>
      <c r="F136" s="33">
        <v>1194.0</v>
      </c>
    </row>
    <row r="137">
      <c r="A137" s="32">
        <v>45793.0</v>
      </c>
      <c r="B137" s="8">
        <v>74630.0</v>
      </c>
      <c r="C137" s="8">
        <v>1584.0</v>
      </c>
      <c r="D137" s="33">
        <v>1102.0</v>
      </c>
      <c r="E137" s="8">
        <v>40.0</v>
      </c>
      <c r="F137" s="33">
        <v>5770.0</v>
      </c>
    </row>
    <row r="138">
      <c r="A138" s="32">
        <v>45794.0</v>
      </c>
      <c r="B138" s="8">
        <v>63489.0</v>
      </c>
      <c r="C138" s="8">
        <v>1236.0</v>
      </c>
      <c r="D138" s="33">
        <v>1066.0</v>
      </c>
      <c r="E138" s="8">
        <v>17.0</v>
      </c>
      <c r="F138" s="33">
        <v>2611.0</v>
      </c>
    </row>
    <row r="139">
      <c r="A139" s="32">
        <v>45795.0</v>
      </c>
      <c r="B139" s="8">
        <v>105220.0</v>
      </c>
      <c r="C139" s="8">
        <v>1702.0</v>
      </c>
      <c r="D139" s="33">
        <v>2200.0</v>
      </c>
      <c r="E139" s="8">
        <v>45.0</v>
      </c>
      <c r="F139" s="33">
        <v>6598.0</v>
      </c>
    </row>
    <row r="140">
      <c r="A140" s="32">
        <v>45796.0</v>
      </c>
      <c r="B140" s="8">
        <v>68778.0</v>
      </c>
      <c r="C140" s="8">
        <v>2502.0</v>
      </c>
      <c r="D140" s="33">
        <v>2106.0</v>
      </c>
      <c r="E140" s="8">
        <v>56.0</v>
      </c>
      <c r="F140" s="33">
        <v>8625.0</v>
      </c>
    </row>
    <row r="141">
      <c r="A141" s="32">
        <v>45797.0</v>
      </c>
      <c r="B141" s="8">
        <v>93302.0</v>
      </c>
      <c r="C141" s="8">
        <v>973.0</v>
      </c>
      <c r="D141" s="33">
        <v>774.0</v>
      </c>
      <c r="E141" s="8">
        <v>13.0</v>
      </c>
      <c r="F141" s="33">
        <v>1478.0</v>
      </c>
    </row>
    <row r="142">
      <c r="A142" s="32">
        <v>45798.0</v>
      </c>
      <c r="B142" s="8">
        <v>91348.0</v>
      </c>
      <c r="C142" s="8">
        <v>1383.0</v>
      </c>
      <c r="D142" s="33">
        <v>1440.0</v>
      </c>
      <c r="E142" s="8">
        <v>31.0</v>
      </c>
      <c r="F142" s="33">
        <v>5712.0</v>
      </c>
    </row>
    <row r="143">
      <c r="A143" s="32">
        <v>45799.0</v>
      </c>
      <c r="B143" s="8">
        <v>70267.0</v>
      </c>
      <c r="C143" s="8">
        <v>819.0</v>
      </c>
      <c r="D143" s="33">
        <v>1027.0</v>
      </c>
      <c r="E143" s="8">
        <v>16.0</v>
      </c>
      <c r="F143" s="33">
        <v>2692.0</v>
      </c>
    </row>
    <row r="144">
      <c r="A144" s="32">
        <v>45800.0</v>
      </c>
      <c r="B144" s="8">
        <v>80874.0</v>
      </c>
      <c r="C144" s="8">
        <v>1432.0</v>
      </c>
      <c r="D144" s="33">
        <v>1341.0</v>
      </c>
      <c r="E144" s="8">
        <v>24.0</v>
      </c>
      <c r="F144" s="33">
        <v>4057.0</v>
      </c>
    </row>
    <row r="145">
      <c r="A145" s="32">
        <v>45801.0</v>
      </c>
      <c r="B145" s="8">
        <v>103764.0</v>
      </c>
      <c r="C145" s="8">
        <v>1198.0</v>
      </c>
      <c r="D145" s="33">
        <v>1091.0</v>
      </c>
      <c r="E145" s="8">
        <v>19.0</v>
      </c>
      <c r="F145" s="33">
        <v>3422.0</v>
      </c>
    </row>
    <row r="146">
      <c r="A146" s="32">
        <v>45802.0</v>
      </c>
      <c r="B146" s="8">
        <v>72519.0</v>
      </c>
      <c r="C146" s="8">
        <v>2402.0</v>
      </c>
      <c r="D146" s="33">
        <v>2871.0</v>
      </c>
      <c r="E146" s="8">
        <v>29.0</v>
      </c>
      <c r="F146" s="33">
        <v>4566.0</v>
      </c>
    </row>
    <row r="147">
      <c r="A147" s="32">
        <v>45803.0</v>
      </c>
      <c r="B147" s="8">
        <v>81742.0</v>
      </c>
      <c r="C147" s="8">
        <v>2310.0</v>
      </c>
      <c r="D147" s="33">
        <v>2913.0</v>
      </c>
      <c r="E147" s="8">
        <v>50.0</v>
      </c>
      <c r="F147" s="33">
        <v>8332.0</v>
      </c>
    </row>
    <row r="148">
      <c r="A148" s="32">
        <v>45804.0</v>
      </c>
      <c r="B148" s="8">
        <v>46255.0</v>
      </c>
      <c r="C148" s="8">
        <v>811.0</v>
      </c>
      <c r="D148" s="33">
        <v>660.0</v>
      </c>
      <c r="E148" s="8">
        <v>11.0</v>
      </c>
      <c r="F148" s="33">
        <v>2062.0</v>
      </c>
    </row>
    <row r="149">
      <c r="A149" s="32">
        <v>45805.0</v>
      </c>
      <c r="B149" s="8">
        <v>94627.0</v>
      </c>
      <c r="C149" s="8">
        <v>2714.0</v>
      </c>
      <c r="D149" s="33">
        <v>3004.0</v>
      </c>
      <c r="E149" s="8">
        <v>57.0</v>
      </c>
      <c r="F149" s="33">
        <v>10414.0</v>
      </c>
    </row>
    <row r="150">
      <c r="A150" s="32">
        <v>45806.0</v>
      </c>
      <c r="B150" s="8">
        <v>64109.0</v>
      </c>
      <c r="C150" s="8">
        <v>1488.0</v>
      </c>
      <c r="D150" s="33">
        <v>971.0</v>
      </c>
      <c r="E150" s="8">
        <v>34.0</v>
      </c>
      <c r="F150" s="33">
        <v>4550.0</v>
      </c>
    </row>
    <row r="151">
      <c r="A151" s="32">
        <v>45807.0</v>
      </c>
      <c r="B151" s="8">
        <v>56435.0</v>
      </c>
      <c r="C151" s="8">
        <v>1325.0</v>
      </c>
      <c r="D151" s="33">
        <v>1551.0</v>
      </c>
      <c r="E151" s="8">
        <v>26.0</v>
      </c>
      <c r="F151" s="33">
        <v>4441.0</v>
      </c>
    </row>
    <row r="152">
      <c r="A152" s="32">
        <v>45808.0</v>
      </c>
      <c r="B152" s="8">
        <v>33813.0</v>
      </c>
      <c r="C152" s="8">
        <v>407.0</v>
      </c>
      <c r="D152" s="33">
        <v>307.0</v>
      </c>
      <c r="E152" s="8">
        <v>5.0</v>
      </c>
      <c r="F152" s="33">
        <v>902.0</v>
      </c>
    </row>
    <row r="153">
      <c r="A153" s="32">
        <v>45809.0</v>
      </c>
      <c r="B153" s="8">
        <v>66532.0</v>
      </c>
      <c r="C153" s="8">
        <v>1613.0</v>
      </c>
      <c r="D153" s="33">
        <v>1095.0</v>
      </c>
      <c r="E153" s="8">
        <v>24.0</v>
      </c>
      <c r="F153" s="33">
        <v>3337.0</v>
      </c>
    </row>
    <row r="154">
      <c r="A154" s="32">
        <v>45810.0</v>
      </c>
      <c r="B154" s="8">
        <v>103974.0</v>
      </c>
      <c r="C154" s="8">
        <v>2068.0</v>
      </c>
      <c r="D154" s="33">
        <v>2821.0</v>
      </c>
      <c r="E154" s="8">
        <v>52.0</v>
      </c>
      <c r="F154" s="33">
        <v>5089.0</v>
      </c>
    </row>
    <row r="155">
      <c r="A155" s="32">
        <v>45811.0</v>
      </c>
      <c r="B155" s="8">
        <v>35392.0</v>
      </c>
      <c r="C155" s="8">
        <v>676.0</v>
      </c>
      <c r="D155" s="33">
        <v>828.0</v>
      </c>
      <c r="E155" s="8">
        <v>16.0</v>
      </c>
      <c r="F155" s="33">
        <v>2889.0</v>
      </c>
    </row>
    <row r="156">
      <c r="A156" s="32">
        <v>45812.0</v>
      </c>
      <c r="B156" s="8">
        <v>69161.0</v>
      </c>
      <c r="C156" s="8">
        <v>1584.0</v>
      </c>
      <c r="D156" s="33">
        <v>1531.0</v>
      </c>
      <c r="E156" s="8">
        <v>37.0</v>
      </c>
      <c r="F156" s="33">
        <v>4150.0</v>
      </c>
    </row>
    <row r="157">
      <c r="A157" s="32">
        <v>45813.0</v>
      </c>
      <c r="B157" s="8">
        <v>80677.0</v>
      </c>
      <c r="C157" s="8">
        <v>2353.0</v>
      </c>
      <c r="D157" s="33">
        <v>1604.0</v>
      </c>
      <c r="E157" s="8">
        <v>52.0</v>
      </c>
      <c r="F157" s="33">
        <v>6829.0</v>
      </c>
    </row>
    <row r="158">
      <c r="A158" s="32">
        <v>45814.0</v>
      </c>
      <c r="B158" s="8">
        <v>93359.0</v>
      </c>
      <c r="C158" s="8">
        <v>1868.0</v>
      </c>
      <c r="D158" s="33">
        <v>1915.0</v>
      </c>
      <c r="E158" s="8">
        <v>32.0</v>
      </c>
      <c r="F158" s="33">
        <v>4092.0</v>
      </c>
    </row>
    <row r="159">
      <c r="A159" s="32">
        <v>45815.0</v>
      </c>
      <c r="B159" s="8">
        <v>78392.0</v>
      </c>
      <c r="C159" s="8">
        <v>1829.0</v>
      </c>
      <c r="D159" s="33">
        <v>1556.0</v>
      </c>
      <c r="E159" s="8">
        <v>45.0</v>
      </c>
      <c r="F159" s="33">
        <v>8453.0</v>
      </c>
    </row>
    <row r="160">
      <c r="A160" s="32">
        <v>45816.0</v>
      </c>
      <c r="B160" s="8">
        <v>107060.0</v>
      </c>
      <c r="C160" s="8">
        <v>2532.0</v>
      </c>
      <c r="D160" s="33">
        <v>2042.0</v>
      </c>
      <c r="E160" s="8">
        <v>42.0</v>
      </c>
      <c r="F160" s="33">
        <v>7701.0</v>
      </c>
    </row>
    <row r="161">
      <c r="A161" s="32">
        <v>45817.0</v>
      </c>
      <c r="B161" s="8">
        <v>49858.0</v>
      </c>
      <c r="C161" s="8">
        <v>789.0</v>
      </c>
      <c r="D161" s="33">
        <v>770.0</v>
      </c>
      <c r="E161" s="8">
        <v>10.0</v>
      </c>
      <c r="F161" s="33">
        <v>1509.0</v>
      </c>
    </row>
    <row r="162">
      <c r="A162" s="32">
        <v>45818.0</v>
      </c>
      <c r="B162" s="8">
        <v>92974.0</v>
      </c>
      <c r="C162" s="8">
        <v>2773.0</v>
      </c>
      <c r="D162" s="33">
        <v>2050.0</v>
      </c>
      <c r="E162" s="8">
        <v>35.0</v>
      </c>
      <c r="F162" s="33">
        <v>5401.0</v>
      </c>
    </row>
    <row r="163">
      <c r="A163" s="32">
        <v>45819.0</v>
      </c>
      <c r="B163" s="8">
        <v>93927.0</v>
      </c>
      <c r="C163" s="8">
        <v>1478.0</v>
      </c>
      <c r="D163" s="33">
        <v>1062.0</v>
      </c>
      <c r="E163" s="8">
        <v>17.0</v>
      </c>
      <c r="F163" s="33">
        <v>3226.0</v>
      </c>
    </row>
    <row r="164">
      <c r="A164" s="32">
        <v>45820.0</v>
      </c>
      <c r="B164" s="8">
        <v>31823.0</v>
      </c>
      <c r="C164" s="8">
        <v>508.0</v>
      </c>
      <c r="D164" s="33">
        <v>351.0</v>
      </c>
      <c r="E164" s="8">
        <v>11.0</v>
      </c>
      <c r="F164" s="33">
        <v>1858.0</v>
      </c>
    </row>
    <row r="165">
      <c r="A165" s="32">
        <v>45821.0</v>
      </c>
      <c r="B165" s="8">
        <v>59219.0</v>
      </c>
      <c r="C165" s="8">
        <v>1695.0</v>
      </c>
      <c r="D165" s="33">
        <v>2012.0</v>
      </c>
      <c r="E165" s="8">
        <v>34.0</v>
      </c>
      <c r="F165" s="33">
        <v>6351.0</v>
      </c>
    </row>
    <row r="166">
      <c r="A166" s="32">
        <v>45822.0</v>
      </c>
      <c r="B166" s="8">
        <v>73802.0</v>
      </c>
      <c r="C166" s="8">
        <v>1658.0</v>
      </c>
      <c r="D166" s="33">
        <v>1269.0</v>
      </c>
      <c r="E166" s="8">
        <v>25.0</v>
      </c>
      <c r="F166" s="33">
        <v>4429.0</v>
      </c>
    </row>
    <row r="167">
      <c r="A167" s="32">
        <v>45823.0</v>
      </c>
      <c r="B167" s="8">
        <v>88524.0</v>
      </c>
      <c r="C167" s="8">
        <v>2800.0</v>
      </c>
      <c r="D167" s="33">
        <v>2039.0</v>
      </c>
      <c r="E167" s="8">
        <v>63.0</v>
      </c>
      <c r="F167" s="33">
        <v>11252.0</v>
      </c>
    </row>
    <row r="168">
      <c r="A168" s="32">
        <v>45824.0</v>
      </c>
      <c r="B168" s="8">
        <v>96726.0</v>
      </c>
      <c r="C168" s="8">
        <v>3424.0</v>
      </c>
      <c r="D168" s="33">
        <v>3824.0</v>
      </c>
      <c r="E168" s="8">
        <v>52.0</v>
      </c>
      <c r="F168" s="33">
        <v>7945.0</v>
      </c>
    </row>
    <row r="169">
      <c r="A169" s="32">
        <v>45825.0</v>
      </c>
      <c r="B169" s="8">
        <v>36420.0</v>
      </c>
      <c r="C169" s="8">
        <v>662.0</v>
      </c>
      <c r="D169" s="33">
        <v>479.0</v>
      </c>
      <c r="E169" s="8">
        <v>7.0</v>
      </c>
      <c r="F169" s="33">
        <v>1534.0</v>
      </c>
    </row>
    <row r="170">
      <c r="A170" s="32">
        <v>45826.0</v>
      </c>
      <c r="B170" s="8">
        <v>46221.0</v>
      </c>
      <c r="C170" s="8">
        <v>390.0</v>
      </c>
      <c r="D170" s="33">
        <v>554.0</v>
      </c>
      <c r="E170" s="8">
        <v>6.0</v>
      </c>
      <c r="F170" s="33">
        <v>1072.0</v>
      </c>
    </row>
    <row r="171">
      <c r="A171" s="32">
        <v>45827.0</v>
      </c>
      <c r="B171" s="8">
        <v>54089.0</v>
      </c>
      <c r="C171" s="8">
        <v>1501.0</v>
      </c>
      <c r="D171" s="33">
        <v>1190.0</v>
      </c>
      <c r="E171" s="8">
        <v>20.0</v>
      </c>
      <c r="F171" s="33">
        <v>3572.0</v>
      </c>
    </row>
    <row r="172">
      <c r="A172" s="32">
        <v>45828.0</v>
      </c>
      <c r="B172" s="8">
        <v>66874.0</v>
      </c>
      <c r="C172" s="8">
        <v>1626.0</v>
      </c>
      <c r="D172" s="33">
        <v>1879.0</v>
      </c>
      <c r="E172" s="8">
        <v>39.0</v>
      </c>
      <c r="F172" s="33">
        <v>6844.0</v>
      </c>
    </row>
    <row r="173">
      <c r="A173" s="32">
        <v>45829.0</v>
      </c>
      <c r="B173" s="8">
        <v>91720.0</v>
      </c>
      <c r="C173" s="8">
        <v>2344.0</v>
      </c>
      <c r="D173" s="33">
        <v>2869.0</v>
      </c>
      <c r="E173" s="8">
        <v>48.0</v>
      </c>
      <c r="F173" s="33">
        <v>7760.0</v>
      </c>
    </row>
    <row r="174">
      <c r="A174" s="32">
        <v>45830.0</v>
      </c>
      <c r="B174" s="8">
        <v>91964.0</v>
      </c>
      <c r="C174" s="8">
        <v>2823.0</v>
      </c>
      <c r="D174" s="33">
        <v>3160.0</v>
      </c>
      <c r="E174" s="8">
        <v>47.0</v>
      </c>
      <c r="F174" s="33">
        <v>6828.0</v>
      </c>
    </row>
    <row r="175">
      <c r="A175" s="32">
        <v>45831.0</v>
      </c>
      <c r="B175" s="8">
        <v>70888.0</v>
      </c>
      <c r="C175" s="8">
        <v>1202.0</v>
      </c>
      <c r="D175" s="33">
        <v>1493.0</v>
      </c>
      <c r="E175" s="8">
        <v>27.0</v>
      </c>
      <c r="F175" s="33">
        <v>4778.0</v>
      </c>
    </row>
    <row r="176">
      <c r="A176" s="32">
        <v>45832.0</v>
      </c>
      <c r="B176" s="8">
        <v>85428.0</v>
      </c>
      <c r="C176" s="8">
        <v>930.0</v>
      </c>
      <c r="D176" s="33">
        <v>1150.0</v>
      </c>
      <c r="E176" s="8">
        <v>21.0</v>
      </c>
      <c r="F176" s="33">
        <v>2736.0</v>
      </c>
    </row>
    <row r="177">
      <c r="A177" s="32">
        <v>45833.0</v>
      </c>
      <c r="B177" s="8">
        <v>36396.0</v>
      </c>
      <c r="C177" s="8">
        <v>611.0</v>
      </c>
      <c r="D177" s="33">
        <v>477.0</v>
      </c>
      <c r="E177" s="8">
        <v>10.0</v>
      </c>
      <c r="F177" s="33">
        <v>1991.0</v>
      </c>
    </row>
    <row r="178">
      <c r="A178" s="32">
        <v>45834.0</v>
      </c>
      <c r="B178" s="8">
        <v>78357.0</v>
      </c>
      <c r="C178" s="8">
        <v>1540.0</v>
      </c>
      <c r="D178" s="33">
        <v>1818.0</v>
      </c>
      <c r="E178" s="8">
        <v>33.0</v>
      </c>
      <c r="F178" s="33">
        <v>5566.0</v>
      </c>
    </row>
    <row r="179">
      <c r="A179" s="32">
        <v>45835.0</v>
      </c>
      <c r="B179" s="8">
        <v>39906.0</v>
      </c>
      <c r="C179" s="8">
        <v>885.0</v>
      </c>
      <c r="D179" s="33">
        <v>1028.0</v>
      </c>
      <c r="E179" s="8">
        <v>17.0</v>
      </c>
      <c r="F179" s="33">
        <v>2660.0</v>
      </c>
    </row>
    <row r="180">
      <c r="A180" s="32">
        <v>45836.0</v>
      </c>
      <c r="B180" s="8">
        <v>36228.0</v>
      </c>
      <c r="C180" s="8">
        <v>656.0</v>
      </c>
      <c r="D180" s="33">
        <v>722.0</v>
      </c>
      <c r="E180" s="8">
        <v>11.0</v>
      </c>
      <c r="F180" s="33">
        <v>1760.0</v>
      </c>
    </row>
    <row r="181">
      <c r="A181" s="32">
        <v>45837.0</v>
      </c>
      <c r="B181" s="8">
        <v>39763.0</v>
      </c>
      <c r="C181" s="8">
        <v>491.0</v>
      </c>
      <c r="D181" s="33">
        <v>423.0</v>
      </c>
      <c r="E181" s="8">
        <v>12.0</v>
      </c>
      <c r="F181" s="33">
        <v>1614.0</v>
      </c>
    </row>
    <row r="182">
      <c r="A182" s="32">
        <v>45838.0</v>
      </c>
      <c r="B182" s="8">
        <v>56341.0</v>
      </c>
      <c r="C182" s="8">
        <v>1160.0</v>
      </c>
      <c r="D182" s="33">
        <v>1524.0</v>
      </c>
      <c r="E182" s="8">
        <v>22.0</v>
      </c>
      <c r="F182" s="33">
        <v>2871.0</v>
      </c>
    </row>
    <row r="183">
      <c r="A183" s="32">
        <v>45839.0</v>
      </c>
      <c r="B183" s="8">
        <v>102174.0</v>
      </c>
      <c r="C183" s="8">
        <v>2796.0</v>
      </c>
      <c r="D183" s="33">
        <v>2695.0</v>
      </c>
      <c r="E183" s="8">
        <v>61.0</v>
      </c>
      <c r="F183" s="33">
        <v>11073.0</v>
      </c>
    </row>
    <row r="184">
      <c r="A184" s="32">
        <v>45840.0</v>
      </c>
      <c r="B184" s="8">
        <v>37030.0</v>
      </c>
      <c r="C184" s="8">
        <v>905.0</v>
      </c>
      <c r="D184" s="33">
        <v>540.0</v>
      </c>
      <c r="E184" s="8">
        <v>18.0</v>
      </c>
      <c r="F184" s="33">
        <v>3241.0</v>
      </c>
    </row>
    <row r="185">
      <c r="A185" s="32">
        <v>45841.0</v>
      </c>
      <c r="B185" s="8">
        <v>73230.0</v>
      </c>
      <c r="C185" s="8">
        <v>1588.0</v>
      </c>
      <c r="D185" s="33">
        <v>1728.0</v>
      </c>
      <c r="E185" s="8">
        <v>20.0</v>
      </c>
      <c r="F185" s="33">
        <v>3058.0</v>
      </c>
    </row>
    <row r="186">
      <c r="A186" s="32">
        <v>45842.0</v>
      </c>
      <c r="B186" s="8">
        <v>84455.0</v>
      </c>
      <c r="C186" s="8">
        <v>1691.0</v>
      </c>
      <c r="D186" s="33">
        <v>1068.0</v>
      </c>
      <c r="E186" s="8">
        <v>21.0</v>
      </c>
      <c r="F186" s="33">
        <v>4326.0</v>
      </c>
    </row>
    <row r="187">
      <c r="A187" s="32">
        <v>45843.0</v>
      </c>
      <c r="B187" s="8">
        <v>92695.0</v>
      </c>
      <c r="C187" s="8">
        <v>3065.0</v>
      </c>
      <c r="D187" s="33">
        <v>2735.0</v>
      </c>
      <c r="E187" s="8">
        <v>42.0</v>
      </c>
      <c r="F187" s="33">
        <v>4995.0</v>
      </c>
    </row>
    <row r="188">
      <c r="A188" s="32">
        <v>45844.0</v>
      </c>
      <c r="B188" s="8">
        <v>32267.0</v>
      </c>
      <c r="C188" s="8">
        <v>687.0</v>
      </c>
      <c r="D188" s="33">
        <v>577.0</v>
      </c>
      <c r="E188" s="8">
        <v>13.0</v>
      </c>
      <c r="F188" s="33">
        <v>1117.0</v>
      </c>
    </row>
    <row r="189">
      <c r="A189" s="32">
        <v>45845.0</v>
      </c>
      <c r="B189" s="8">
        <v>49360.0</v>
      </c>
      <c r="C189" s="8">
        <v>1379.0</v>
      </c>
      <c r="D189" s="33">
        <v>1306.0</v>
      </c>
      <c r="E189" s="8">
        <v>33.0</v>
      </c>
      <c r="F189" s="33">
        <v>5006.0</v>
      </c>
    </row>
    <row r="190">
      <c r="A190" s="32">
        <v>45846.0</v>
      </c>
      <c r="B190" s="8">
        <v>89246.0</v>
      </c>
      <c r="C190" s="8">
        <v>1769.0</v>
      </c>
      <c r="D190" s="33">
        <v>2301.0</v>
      </c>
      <c r="E190" s="8">
        <v>38.0</v>
      </c>
      <c r="F190" s="33">
        <v>4229.0</v>
      </c>
    </row>
    <row r="191">
      <c r="A191" s="32">
        <v>45847.0</v>
      </c>
      <c r="B191" s="8">
        <v>65614.0</v>
      </c>
      <c r="C191" s="8">
        <v>1094.0</v>
      </c>
      <c r="D191" s="33">
        <v>1319.0</v>
      </c>
      <c r="E191" s="8">
        <v>22.0</v>
      </c>
      <c r="F191" s="33">
        <v>2537.0</v>
      </c>
    </row>
    <row r="192">
      <c r="A192" s="32">
        <v>45848.0</v>
      </c>
      <c r="B192" s="8">
        <v>66173.0</v>
      </c>
      <c r="C192" s="8">
        <v>2013.0</v>
      </c>
      <c r="D192" s="33">
        <v>1615.0</v>
      </c>
      <c r="E192" s="8">
        <v>27.0</v>
      </c>
      <c r="F192" s="33">
        <v>3401.0</v>
      </c>
    </row>
    <row r="193">
      <c r="A193" s="32">
        <v>45849.0</v>
      </c>
      <c r="B193" s="8">
        <v>118239.0</v>
      </c>
      <c r="C193" s="8">
        <v>1749.0</v>
      </c>
      <c r="D193" s="33">
        <v>1258.0</v>
      </c>
      <c r="E193" s="8">
        <v>26.0</v>
      </c>
      <c r="F193" s="33">
        <v>4492.0</v>
      </c>
    </row>
    <row r="194">
      <c r="A194" s="32">
        <v>45850.0</v>
      </c>
      <c r="B194" s="8">
        <v>139914.0</v>
      </c>
      <c r="C194" s="8">
        <v>4706.0</v>
      </c>
      <c r="D194" s="33">
        <v>3189.0</v>
      </c>
      <c r="E194" s="8">
        <v>94.0</v>
      </c>
      <c r="F194" s="33">
        <v>15597.0</v>
      </c>
    </row>
    <row r="195">
      <c r="A195" s="32">
        <v>45851.0</v>
      </c>
      <c r="B195" s="8">
        <v>62911.0</v>
      </c>
      <c r="C195" s="8">
        <v>1666.0</v>
      </c>
      <c r="D195" s="33">
        <v>1635.0</v>
      </c>
      <c r="E195" s="8">
        <v>31.0</v>
      </c>
      <c r="F195" s="33">
        <v>7171.0</v>
      </c>
    </row>
    <row r="196">
      <c r="A196" s="32">
        <v>45852.0</v>
      </c>
      <c r="B196" s="8">
        <v>84932.0</v>
      </c>
      <c r="C196" s="8">
        <v>1185.0</v>
      </c>
      <c r="D196" s="33">
        <v>975.0</v>
      </c>
      <c r="E196" s="8">
        <v>22.0</v>
      </c>
      <c r="F196" s="33">
        <v>3680.0</v>
      </c>
    </row>
    <row r="197">
      <c r="A197" s="32">
        <v>45853.0</v>
      </c>
      <c r="B197" s="8">
        <v>93609.0</v>
      </c>
      <c r="C197" s="8">
        <v>1602.0</v>
      </c>
      <c r="D197" s="33">
        <v>1872.0</v>
      </c>
      <c r="E197" s="8">
        <v>35.0</v>
      </c>
      <c r="F197" s="33">
        <v>5424.0</v>
      </c>
    </row>
    <row r="198">
      <c r="A198" s="32">
        <v>45854.0</v>
      </c>
      <c r="B198" s="8">
        <v>124150.0</v>
      </c>
      <c r="C198" s="8">
        <v>3419.0</v>
      </c>
      <c r="D198" s="33">
        <v>2803.0</v>
      </c>
      <c r="E198" s="8">
        <v>76.0</v>
      </c>
      <c r="F198" s="33">
        <v>11638.0</v>
      </c>
    </row>
    <row r="199">
      <c r="A199" s="32">
        <v>45855.0</v>
      </c>
      <c r="B199" s="8">
        <v>74860.0</v>
      </c>
      <c r="C199" s="8">
        <v>1800.0</v>
      </c>
      <c r="D199" s="33">
        <v>1707.0</v>
      </c>
      <c r="E199" s="8">
        <v>30.0</v>
      </c>
      <c r="F199" s="33">
        <v>5678.0</v>
      </c>
    </row>
    <row r="200">
      <c r="A200" s="32">
        <v>45856.0</v>
      </c>
      <c r="B200" s="8">
        <v>96309.0</v>
      </c>
      <c r="C200" s="8">
        <v>2515.0</v>
      </c>
      <c r="D200" s="33">
        <v>2606.0</v>
      </c>
      <c r="E200" s="8">
        <v>30.0</v>
      </c>
      <c r="F200" s="33">
        <v>3485.0</v>
      </c>
    </row>
    <row r="201">
      <c r="A201" s="32">
        <v>45857.0</v>
      </c>
      <c r="B201" s="8">
        <v>48436.0</v>
      </c>
      <c r="C201" s="8">
        <v>780.0</v>
      </c>
      <c r="D201" s="33">
        <v>460.0</v>
      </c>
      <c r="E201" s="8">
        <v>15.0</v>
      </c>
      <c r="F201" s="33">
        <v>2100.0</v>
      </c>
    </row>
    <row r="202">
      <c r="A202" s="32">
        <v>45858.0</v>
      </c>
      <c r="B202" s="8">
        <v>53788.0</v>
      </c>
      <c r="C202" s="8">
        <v>1405.0</v>
      </c>
      <c r="D202" s="33">
        <v>1194.0</v>
      </c>
      <c r="E202" s="8">
        <v>21.0</v>
      </c>
      <c r="F202" s="33">
        <v>3537.0</v>
      </c>
    </row>
    <row r="203">
      <c r="A203" s="32">
        <v>45859.0</v>
      </c>
      <c r="B203" s="8">
        <v>44345.0</v>
      </c>
      <c r="C203" s="8">
        <v>439.0</v>
      </c>
      <c r="D203" s="33">
        <v>314.0</v>
      </c>
      <c r="E203" s="8">
        <v>9.0</v>
      </c>
      <c r="F203" s="33">
        <v>1294.0</v>
      </c>
    </row>
    <row r="204">
      <c r="A204" s="32">
        <v>45860.0</v>
      </c>
      <c r="B204" s="8">
        <v>42269.0</v>
      </c>
      <c r="C204" s="8">
        <v>592.0</v>
      </c>
      <c r="D204" s="33">
        <v>628.0</v>
      </c>
      <c r="E204" s="8">
        <v>7.0</v>
      </c>
      <c r="F204" s="33">
        <v>908.0</v>
      </c>
    </row>
    <row r="205">
      <c r="A205" s="32">
        <v>45861.0</v>
      </c>
      <c r="B205" s="8">
        <v>36574.0</v>
      </c>
      <c r="C205" s="8">
        <v>612.0</v>
      </c>
      <c r="D205" s="33">
        <v>607.0</v>
      </c>
      <c r="E205" s="8">
        <v>10.0</v>
      </c>
      <c r="F205" s="33">
        <v>2569.0</v>
      </c>
    </row>
    <row r="206">
      <c r="A206" s="32">
        <v>45862.0</v>
      </c>
      <c r="B206" s="8">
        <v>126874.0</v>
      </c>
      <c r="C206" s="8">
        <v>2860.0</v>
      </c>
      <c r="D206" s="33">
        <v>1895.0</v>
      </c>
      <c r="E206" s="8">
        <v>49.0</v>
      </c>
      <c r="F206" s="33">
        <v>6114.0</v>
      </c>
    </row>
    <row r="207">
      <c r="A207" s="32">
        <v>45863.0</v>
      </c>
      <c r="B207" s="8">
        <v>56370.0</v>
      </c>
      <c r="C207" s="8">
        <v>625.0</v>
      </c>
      <c r="D207" s="33">
        <v>436.0</v>
      </c>
      <c r="E207" s="8">
        <v>11.0</v>
      </c>
      <c r="F207" s="33">
        <v>2595.0</v>
      </c>
    </row>
    <row r="208">
      <c r="A208" s="32">
        <v>45864.0</v>
      </c>
      <c r="B208" s="8">
        <v>35524.0</v>
      </c>
      <c r="C208" s="8">
        <v>543.0</v>
      </c>
      <c r="D208" s="33">
        <v>466.0</v>
      </c>
      <c r="E208" s="8">
        <v>13.0</v>
      </c>
      <c r="F208" s="33">
        <v>1746.0</v>
      </c>
    </row>
    <row r="209">
      <c r="A209" s="32">
        <v>45865.0</v>
      </c>
      <c r="B209" s="8">
        <v>85624.0</v>
      </c>
      <c r="C209" s="8">
        <v>2615.0</v>
      </c>
      <c r="D209" s="33">
        <v>2503.0</v>
      </c>
      <c r="E209" s="8">
        <v>28.0</v>
      </c>
      <c r="F209" s="33">
        <v>4628.0</v>
      </c>
    </row>
    <row r="210">
      <c r="A210" s="32">
        <v>45866.0</v>
      </c>
      <c r="B210" s="8">
        <v>114146.0</v>
      </c>
      <c r="C210" s="8">
        <v>1953.0</v>
      </c>
      <c r="D210" s="33">
        <v>1745.0</v>
      </c>
      <c r="E210" s="8">
        <v>35.0</v>
      </c>
      <c r="F210" s="33">
        <v>3609.0</v>
      </c>
    </row>
    <row r="211">
      <c r="A211" s="32">
        <v>45867.0</v>
      </c>
      <c r="B211" s="8">
        <v>60645.0</v>
      </c>
      <c r="C211" s="8">
        <v>1643.0</v>
      </c>
      <c r="D211" s="33">
        <v>1032.0</v>
      </c>
      <c r="E211" s="8">
        <v>25.0</v>
      </c>
      <c r="F211" s="33">
        <v>4414.0</v>
      </c>
    </row>
    <row r="212">
      <c r="A212" s="32">
        <v>45868.0</v>
      </c>
      <c r="B212" s="8">
        <v>72672.0</v>
      </c>
      <c r="C212" s="8">
        <v>1264.0</v>
      </c>
      <c r="D212" s="33">
        <v>843.0</v>
      </c>
      <c r="E212" s="8">
        <v>20.0</v>
      </c>
      <c r="F212" s="33">
        <v>3847.0</v>
      </c>
    </row>
    <row r="213">
      <c r="A213" s="32">
        <v>45869.0</v>
      </c>
      <c r="B213" s="8">
        <v>56801.0</v>
      </c>
      <c r="C213" s="8">
        <v>1344.0</v>
      </c>
      <c r="D213" s="33">
        <v>1488.0</v>
      </c>
      <c r="E213" s="8">
        <v>27.0</v>
      </c>
      <c r="F213" s="33">
        <v>4700.0</v>
      </c>
    </row>
    <row r="214">
      <c r="A214" s="32">
        <v>45870.0</v>
      </c>
      <c r="B214" s="8">
        <v>72010.0</v>
      </c>
      <c r="C214" s="8">
        <v>1347.0</v>
      </c>
      <c r="D214" s="33">
        <v>990.0</v>
      </c>
      <c r="E214" s="8">
        <v>19.0</v>
      </c>
      <c r="F214" s="33">
        <v>3600.0</v>
      </c>
    </row>
    <row r="215">
      <c r="A215" s="32">
        <v>45871.0</v>
      </c>
      <c r="B215" s="8">
        <v>86525.0</v>
      </c>
      <c r="C215" s="8">
        <v>1406.0</v>
      </c>
      <c r="D215" s="33">
        <v>843.0</v>
      </c>
      <c r="E215" s="8">
        <v>29.0</v>
      </c>
      <c r="F215" s="33">
        <v>3621.0</v>
      </c>
    </row>
    <row r="216">
      <c r="A216" s="32">
        <v>45872.0</v>
      </c>
      <c r="B216" s="8">
        <v>107947.0</v>
      </c>
      <c r="C216" s="8">
        <v>3227.0</v>
      </c>
      <c r="D216" s="33">
        <v>2650.0</v>
      </c>
      <c r="E216" s="8">
        <v>71.0</v>
      </c>
      <c r="F216" s="33">
        <v>9944.0</v>
      </c>
    </row>
    <row r="217">
      <c r="A217" s="32">
        <v>45873.0</v>
      </c>
      <c r="B217" s="8">
        <v>59452.0</v>
      </c>
      <c r="C217" s="8">
        <v>1316.0</v>
      </c>
      <c r="D217" s="33">
        <v>1191.0</v>
      </c>
      <c r="E217" s="8">
        <v>20.0</v>
      </c>
      <c r="F217" s="33">
        <v>3230.0</v>
      </c>
    </row>
    <row r="218">
      <c r="A218" s="32">
        <v>45874.0</v>
      </c>
      <c r="B218" s="8">
        <v>68815.0</v>
      </c>
      <c r="C218" s="8">
        <v>1319.0</v>
      </c>
      <c r="D218" s="33">
        <v>1205.0</v>
      </c>
      <c r="E218" s="8">
        <v>24.0</v>
      </c>
      <c r="F218" s="33">
        <v>3088.0</v>
      </c>
    </row>
    <row r="219">
      <c r="A219" s="32">
        <v>45875.0</v>
      </c>
      <c r="B219" s="8">
        <v>68158.0</v>
      </c>
      <c r="C219" s="8">
        <v>930.0</v>
      </c>
      <c r="D219" s="33">
        <v>576.0</v>
      </c>
      <c r="E219" s="8">
        <v>22.0</v>
      </c>
      <c r="F219" s="33">
        <v>2774.0</v>
      </c>
    </row>
    <row r="220">
      <c r="A220" s="32">
        <v>45876.0</v>
      </c>
      <c r="B220" s="8">
        <v>91525.0</v>
      </c>
      <c r="C220" s="8">
        <v>2754.0</v>
      </c>
      <c r="D220" s="33">
        <v>3285.0</v>
      </c>
      <c r="E220" s="8">
        <v>73.0</v>
      </c>
      <c r="F220" s="33">
        <v>11727.0</v>
      </c>
    </row>
    <row r="221">
      <c r="A221" s="32">
        <v>45877.0</v>
      </c>
      <c r="B221" s="8">
        <v>146038.0</v>
      </c>
      <c r="C221" s="8">
        <v>2784.0</v>
      </c>
      <c r="D221" s="33">
        <v>1756.0</v>
      </c>
      <c r="E221" s="8">
        <v>54.0</v>
      </c>
      <c r="F221" s="33">
        <v>6610.0</v>
      </c>
    </row>
    <row r="222">
      <c r="A222" s="32">
        <v>45878.0</v>
      </c>
      <c r="B222" s="8">
        <v>55344.0</v>
      </c>
      <c r="C222" s="8">
        <v>549.0</v>
      </c>
      <c r="D222" s="33">
        <v>378.0</v>
      </c>
      <c r="E222" s="8">
        <v>13.0</v>
      </c>
      <c r="F222" s="33">
        <v>1627.0</v>
      </c>
    </row>
    <row r="223">
      <c r="A223" s="32">
        <v>45879.0</v>
      </c>
      <c r="B223" s="8">
        <v>81320.0</v>
      </c>
      <c r="C223" s="8">
        <v>1666.0</v>
      </c>
      <c r="D223" s="33">
        <v>2066.0</v>
      </c>
      <c r="E223" s="8">
        <v>22.0</v>
      </c>
      <c r="F223" s="33">
        <v>3387.0</v>
      </c>
    </row>
    <row r="224">
      <c r="A224" s="32">
        <v>45880.0</v>
      </c>
      <c r="B224" s="8">
        <v>111175.0</v>
      </c>
      <c r="C224" s="8">
        <v>1872.0</v>
      </c>
      <c r="D224" s="33">
        <v>1598.0</v>
      </c>
      <c r="E224" s="8">
        <v>40.0</v>
      </c>
      <c r="F224" s="33">
        <v>4464.0</v>
      </c>
    </row>
    <row r="225">
      <c r="A225" s="32">
        <v>45881.0</v>
      </c>
      <c r="B225" s="8">
        <v>35994.0</v>
      </c>
      <c r="C225" s="8">
        <v>437.0</v>
      </c>
      <c r="D225" s="33">
        <v>518.0</v>
      </c>
      <c r="E225" s="8">
        <v>8.0</v>
      </c>
      <c r="F225" s="33">
        <v>1701.0</v>
      </c>
    </row>
    <row r="226">
      <c r="A226" s="32">
        <v>45882.0</v>
      </c>
      <c r="B226" s="8">
        <v>79584.0</v>
      </c>
      <c r="C226" s="8">
        <v>1166.0</v>
      </c>
      <c r="D226" s="33">
        <v>939.0</v>
      </c>
      <c r="E226" s="8">
        <v>13.0</v>
      </c>
      <c r="F226" s="33">
        <v>1572.0</v>
      </c>
    </row>
    <row r="227">
      <c r="A227" s="32">
        <v>45883.0</v>
      </c>
      <c r="B227" s="8">
        <v>134124.0</v>
      </c>
      <c r="C227" s="8">
        <v>3565.0</v>
      </c>
      <c r="D227" s="33">
        <v>2409.0</v>
      </c>
      <c r="E227" s="8">
        <v>62.0</v>
      </c>
      <c r="F227" s="33">
        <v>11986.0</v>
      </c>
    </row>
    <row r="228">
      <c r="A228" s="32">
        <v>45884.0</v>
      </c>
      <c r="B228" s="8">
        <v>106541.0</v>
      </c>
      <c r="C228" s="8">
        <v>3467.0</v>
      </c>
      <c r="D228" s="33">
        <v>3364.0</v>
      </c>
      <c r="E228" s="8">
        <v>43.0</v>
      </c>
      <c r="F228" s="33">
        <v>6003.0</v>
      </c>
    </row>
    <row r="229">
      <c r="A229" s="32">
        <v>45885.0</v>
      </c>
      <c r="B229" s="8">
        <v>55197.0</v>
      </c>
      <c r="C229" s="8">
        <v>1303.0</v>
      </c>
      <c r="D229" s="33">
        <v>720.0</v>
      </c>
      <c r="E229" s="8">
        <v>12.0</v>
      </c>
      <c r="F229" s="33">
        <v>2471.0</v>
      </c>
    </row>
    <row r="230">
      <c r="A230" s="32">
        <v>45886.0</v>
      </c>
      <c r="B230" s="8">
        <v>127402.0</v>
      </c>
      <c r="C230" s="8">
        <v>1857.0</v>
      </c>
      <c r="D230" s="33">
        <v>1873.0</v>
      </c>
      <c r="E230" s="8">
        <v>37.0</v>
      </c>
      <c r="F230" s="33">
        <v>5628.0</v>
      </c>
    </row>
    <row r="231">
      <c r="A231" s="32">
        <v>45887.0</v>
      </c>
      <c r="B231" s="8">
        <v>97472.0</v>
      </c>
      <c r="C231" s="8">
        <v>2158.0</v>
      </c>
      <c r="D231" s="33">
        <v>2018.0</v>
      </c>
      <c r="E231" s="8">
        <v>54.0</v>
      </c>
      <c r="F231" s="33">
        <v>8260.0</v>
      </c>
    </row>
    <row r="232">
      <c r="A232" s="32">
        <v>45888.0</v>
      </c>
      <c r="B232" s="8">
        <v>32607.0</v>
      </c>
      <c r="C232" s="8">
        <v>432.0</v>
      </c>
      <c r="D232" s="33">
        <v>359.0</v>
      </c>
      <c r="E232" s="8">
        <v>8.0</v>
      </c>
      <c r="F232" s="33">
        <v>1067.0</v>
      </c>
    </row>
    <row r="233">
      <c r="A233" s="32">
        <v>45889.0</v>
      </c>
      <c r="B233" s="8">
        <v>29963.0</v>
      </c>
      <c r="C233" s="8">
        <v>453.0</v>
      </c>
      <c r="D233" s="33">
        <v>441.0</v>
      </c>
      <c r="E233" s="8">
        <v>6.0</v>
      </c>
      <c r="F233" s="33">
        <v>911.0</v>
      </c>
    </row>
    <row r="234">
      <c r="A234" s="32">
        <v>45890.0</v>
      </c>
      <c r="B234" s="8">
        <v>27710.0</v>
      </c>
      <c r="C234" s="8">
        <v>284.0</v>
      </c>
      <c r="D234" s="33">
        <v>195.0</v>
      </c>
      <c r="E234" s="8">
        <v>3.0</v>
      </c>
      <c r="F234" s="33">
        <v>1143.0</v>
      </c>
    </row>
    <row r="235">
      <c r="A235" s="32">
        <v>45891.0</v>
      </c>
      <c r="B235" s="8">
        <v>76252.0</v>
      </c>
      <c r="C235" s="8">
        <v>2156.0</v>
      </c>
      <c r="D235" s="33">
        <v>2121.0</v>
      </c>
      <c r="E235" s="8">
        <v>25.0</v>
      </c>
      <c r="F235" s="33">
        <v>5304.0</v>
      </c>
    </row>
    <row r="236">
      <c r="A236" s="32">
        <v>45892.0</v>
      </c>
      <c r="B236" s="8">
        <v>125503.0</v>
      </c>
      <c r="C236" s="8">
        <v>3915.0</v>
      </c>
      <c r="D236" s="33">
        <v>2247.0</v>
      </c>
      <c r="E236" s="8">
        <v>53.0</v>
      </c>
      <c r="F236" s="33">
        <v>8839.0</v>
      </c>
    </row>
    <row r="237">
      <c r="A237" s="32">
        <v>45893.0</v>
      </c>
      <c r="B237" s="8">
        <v>47190.0</v>
      </c>
      <c r="C237" s="8">
        <v>1025.0</v>
      </c>
      <c r="D237" s="33">
        <v>751.0</v>
      </c>
      <c r="E237" s="8">
        <v>24.0</v>
      </c>
      <c r="F237" s="33">
        <v>3415.0</v>
      </c>
    </row>
    <row r="238">
      <c r="A238" s="32">
        <v>45894.0</v>
      </c>
      <c r="B238" s="8">
        <v>125100.0</v>
      </c>
      <c r="C238" s="8">
        <v>1989.0</v>
      </c>
      <c r="D238" s="33">
        <v>2401.0</v>
      </c>
      <c r="E238" s="8">
        <v>39.0</v>
      </c>
      <c r="F238" s="33">
        <v>7186.0</v>
      </c>
    </row>
    <row r="239">
      <c r="A239" s="32">
        <v>45895.0</v>
      </c>
      <c r="B239" s="8">
        <v>119812.0</v>
      </c>
      <c r="C239" s="8">
        <v>1838.0</v>
      </c>
      <c r="D239" s="33">
        <v>1998.0</v>
      </c>
      <c r="E239" s="8">
        <v>38.0</v>
      </c>
      <c r="F239" s="33">
        <v>6247.0</v>
      </c>
    </row>
    <row r="240">
      <c r="A240" s="32">
        <v>45896.0</v>
      </c>
      <c r="B240" s="8">
        <v>88306.0</v>
      </c>
      <c r="C240" s="8">
        <v>2385.0</v>
      </c>
      <c r="D240" s="33">
        <v>2099.0</v>
      </c>
      <c r="E240" s="8">
        <v>40.0</v>
      </c>
      <c r="F240" s="33">
        <v>4749.0</v>
      </c>
    </row>
    <row r="241">
      <c r="A241" s="32">
        <v>45897.0</v>
      </c>
      <c r="B241" s="8">
        <v>44544.0</v>
      </c>
      <c r="C241" s="8">
        <v>617.0</v>
      </c>
      <c r="D241" s="33">
        <v>610.0</v>
      </c>
      <c r="E241" s="8">
        <v>6.0</v>
      </c>
      <c r="F241" s="33">
        <v>1000.0</v>
      </c>
    </row>
    <row r="242">
      <c r="A242" s="32">
        <v>45898.0</v>
      </c>
      <c r="B242" s="8">
        <v>74391.0</v>
      </c>
      <c r="C242" s="8">
        <v>1039.0</v>
      </c>
      <c r="D242" s="33">
        <v>757.0</v>
      </c>
      <c r="E242" s="8">
        <v>21.0</v>
      </c>
      <c r="F242" s="33">
        <v>3654.0</v>
      </c>
    </row>
    <row r="243">
      <c r="A243" s="32">
        <v>45899.0</v>
      </c>
      <c r="B243" s="8">
        <v>32545.0</v>
      </c>
      <c r="C243" s="8">
        <v>472.0</v>
      </c>
      <c r="D243" s="33">
        <v>518.0</v>
      </c>
      <c r="E243" s="8">
        <v>7.0</v>
      </c>
      <c r="F243" s="33">
        <v>984.0</v>
      </c>
    </row>
    <row r="244">
      <c r="A244" s="32">
        <v>45900.0</v>
      </c>
      <c r="B244" s="8">
        <v>106510.0</v>
      </c>
      <c r="C244" s="8">
        <v>2180.0</v>
      </c>
      <c r="D244" s="33">
        <v>1230.0</v>
      </c>
      <c r="E244" s="8">
        <v>30.0</v>
      </c>
      <c r="F244" s="33">
        <v>4652.0</v>
      </c>
    </row>
    <row r="245">
      <c r="A245" s="32">
        <v>45901.0</v>
      </c>
      <c r="B245" s="8">
        <v>94494.0</v>
      </c>
      <c r="C245" s="8">
        <v>1522.0</v>
      </c>
      <c r="D245" s="33">
        <v>2116.0</v>
      </c>
      <c r="E245" s="8">
        <v>35.0</v>
      </c>
      <c r="F245" s="33">
        <v>3754.0</v>
      </c>
    </row>
    <row r="246">
      <c r="A246" s="32">
        <v>45902.0</v>
      </c>
      <c r="B246" s="8">
        <v>70589.0</v>
      </c>
      <c r="C246" s="8">
        <v>1611.0</v>
      </c>
      <c r="D246" s="33">
        <v>1136.0</v>
      </c>
      <c r="E246" s="8">
        <v>33.0</v>
      </c>
      <c r="F246" s="33">
        <v>3128.0</v>
      </c>
    </row>
    <row r="247">
      <c r="A247" s="32">
        <v>45903.0</v>
      </c>
      <c r="B247" s="8">
        <v>29665.0</v>
      </c>
      <c r="C247" s="8">
        <v>700.0</v>
      </c>
      <c r="D247" s="33">
        <v>604.0</v>
      </c>
      <c r="E247" s="8">
        <v>8.0</v>
      </c>
      <c r="F247" s="33">
        <v>1551.0</v>
      </c>
    </row>
    <row r="248">
      <c r="A248" s="32">
        <v>45904.0</v>
      </c>
      <c r="B248" s="8">
        <v>99274.0</v>
      </c>
      <c r="C248" s="8">
        <v>3436.0</v>
      </c>
      <c r="D248" s="33">
        <v>2446.0</v>
      </c>
      <c r="E248" s="8">
        <v>60.0</v>
      </c>
      <c r="F248" s="33">
        <v>10108.0</v>
      </c>
    </row>
    <row r="249">
      <c r="A249" s="32">
        <v>45905.0</v>
      </c>
      <c r="B249" s="8">
        <v>101197.0</v>
      </c>
      <c r="C249" s="8">
        <v>2414.0</v>
      </c>
      <c r="D249" s="33">
        <v>2677.0</v>
      </c>
      <c r="E249" s="8">
        <v>41.0</v>
      </c>
      <c r="F249" s="33">
        <v>8241.0</v>
      </c>
    </row>
    <row r="250">
      <c r="A250" s="32">
        <v>45906.0</v>
      </c>
      <c r="B250" s="8">
        <v>47386.0</v>
      </c>
      <c r="C250" s="8">
        <v>1122.0</v>
      </c>
      <c r="D250" s="33">
        <v>1286.0</v>
      </c>
      <c r="E250" s="8">
        <v>13.0</v>
      </c>
      <c r="F250" s="33">
        <v>2790.0</v>
      </c>
    </row>
    <row r="251">
      <c r="A251" s="32">
        <v>45907.0</v>
      </c>
      <c r="B251" s="8">
        <v>28728.0</v>
      </c>
      <c r="C251" s="8">
        <v>257.0</v>
      </c>
      <c r="D251" s="33">
        <v>303.0</v>
      </c>
      <c r="E251" s="8">
        <v>2.0</v>
      </c>
      <c r="F251" s="33">
        <v>455.0</v>
      </c>
    </row>
    <row r="252">
      <c r="A252" s="32">
        <v>45908.0</v>
      </c>
      <c r="B252" s="8">
        <v>54726.0</v>
      </c>
      <c r="C252" s="8">
        <v>777.0</v>
      </c>
      <c r="D252" s="33">
        <v>820.0</v>
      </c>
      <c r="E252" s="8">
        <v>20.0</v>
      </c>
      <c r="F252" s="33">
        <v>3113.0</v>
      </c>
    </row>
    <row r="253">
      <c r="A253" s="32">
        <v>45909.0</v>
      </c>
      <c r="B253" s="8">
        <v>25895.0</v>
      </c>
      <c r="C253" s="8">
        <v>517.0</v>
      </c>
      <c r="D253" s="33">
        <v>353.0</v>
      </c>
      <c r="E253" s="8">
        <v>6.0</v>
      </c>
      <c r="F253" s="33">
        <v>1067.0</v>
      </c>
    </row>
    <row r="254">
      <c r="A254" s="32">
        <v>45910.0</v>
      </c>
      <c r="B254" s="8">
        <v>75927.0</v>
      </c>
      <c r="C254" s="8">
        <v>1465.0</v>
      </c>
      <c r="D254" s="33">
        <v>1883.0</v>
      </c>
      <c r="E254" s="8">
        <v>25.0</v>
      </c>
      <c r="F254" s="33">
        <v>3475.0</v>
      </c>
    </row>
    <row r="255">
      <c r="A255" s="32">
        <v>45911.0</v>
      </c>
      <c r="B255" s="8">
        <v>78245.0</v>
      </c>
      <c r="C255" s="8">
        <v>764.0</v>
      </c>
      <c r="D255" s="33">
        <v>800.0</v>
      </c>
      <c r="E255" s="8">
        <v>19.0</v>
      </c>
      <c r="F255" s="33">
        <v>3453.0</v>
      </c>
    </row>
    <row r="256">
      <c r="A256" s="32">
        <v>45912.0</v>
      </c>
      <c r="B256" s="8">
        <v>59778.0</v>
      </c>
      <c r="C256" s="8">
        <v>923.0</v>
      </c>
      <c r="D256" s="33">
        <v>833.0</v>
      </c>
      <c r="E256" s="8">
        <v>16.0</v>
      </c>
      <c r="F256" s="33">
        <v>2848.0</v>
      </c>
    </row>
    <row r="257">
      <c r="A257" s="32">
        <v>45913.0</v>
      </c>
      <c r="B257" s="8">
        <v>105615.0</v>
      </c>
      <c r="C257" s="8">
        <v>1765.0</v>
      </c>
      <c r="D257" s="33">
        <v>1363.0</v>
      </c>
      <c r="E257" s="8">
        <v>47.0</v>
      </c>
      <c r="F257" s="33">
        <v>6743.0</v>
      </c>
    </row>
    <row r="258">
      <c r="A258" s="32">
        <v>45914.0</v>
      </c>
      <c r="B258" s="8">
        <v>98643.0</v>
      </c>
      <c r="C258" s="8">
        <v>2265.0</v>
      </c>
      <c r="D258" s="33">
        <v>1679.0</v>
      </c>
      <c r="E258" s="8">
        <v>50.0</v>
      </c>
      <c r="F258" s="33">
        <v>8539.0</v>
      </c>
    </row>
    <row r="259">
      <c r="A259" s="32">
        <v>45915.0</v>
      </c>
      <c r="B259" s="8">
        <v>63590.0</v>
      </c>
      <c r="C259" s="8">
        <v>732.0</v>
      </c>
      <c r="D259" s="33">
        <v>730.0</v>
      </c>
      <c r="E259" s="8">
        <v>9.0</v>
      </c>
      <c r="F259" s="33">
        <v>1334.0</v>
      </c>
    </row>
    <row r="260">
      <c r="A260" s="32">
        <v>45916.0</v>
      </c>
      <c r="B260" s="8">
        <v>68572.0</v>
      </c>
      <c r="C260" s="8">
        <v>1670.0</v>
      </c>
      <c r="D260" s="33">
        <v>1896.0</v>
      </c>
      <c r="E260" s="8">
        <v>23.0</v>
      </c>
      <c r="F260" s="33">
        <v>4124.0</v>
      </c>
    </row>
    <row r="261">
      <c r="A261" s="32">
        <v>45917.0</v>
      </c>
      <c r="B261" s="8">
        <v>46975.0</v>
      </c>
      <c r="C261" s="8">
        <v>711.0</v>
      </c>
      <c r="D261" s="33">
        <v>744.0</v>
      </c>
      <c r="E261" s="8">
        <v>13.0</v>
      </c>
      <c r="F261" s="33">
        <v>1710.0</v>
      </c>
    </row>
    <row r="262">
      <c r="A262" s="32">
        <v>45918.0</v>
      </c>
      <c r="B262" s="8">
        <v>23787.0</v>
      </c>
      <c r="C262" s="8">
        <v>225.0</v>
      </c>
      <c r="D262" s="33">
        <v>261.0</v>
      </c>
      <c r="E262" s="8">
        <v>3.0</v>
      </c>
      <c r="F262" s="33">
        <v>665.0</v>
      </c>
    </row>
    <row r="263">
      <c r="A263" s="32">
        <v>45919.0</v>
      </c>
      <c r="B263" s="8">
        <v>24284.0</v>
      </c>
      <c r="C263" s="8">
        <v>168.0</v>
      </c>
      <c r="D263" s="33">
        <v>222.0</v>
      </c>
      <c r="E263" s="8">
        <v>2.0</v>
      </c>
      <c r="F263" s="33">
        <v>333.0</v>
      </c>
    </row>
    <row r="264">
      <c r="A264" s="32">
        <v>45920.0</v>
      </c>
      <c r="B264" s="8">
        <v>20373.0</v>
      </c>
      <c r="C264" s="8">
        <v>171.0</v>
      </c>
      <c r="D264" s="33">
        <v>214.0</v>
      </c>
      <c r="E264" s="8">
        <v>3.0</v>
      </c>
      <c r="F264" s="33">
        <v>550.0</v>
      </c>
    </row>
    <row r="265">
      <c r="A265" s="32">
        <v>45921.0</v>
      </c>
      <c r="B265" s="8">
        <v>107000.0</v>
      </c>
      <c r="C265" s="8">
        <v>1702.0</v>
      </c>
      <c r="D265" s="33">
        <v>1597.0</v>
      </c>
      <c r="E265" s="8">
        <v>30.0</v>
      </c>
      <c r="F265" s="33">
        <v>4962.0</v>
      </c>
    </row>
    <row r="266">
      <c r="A266" s="32">
        <v>45922.0</v>
      </c>
      <c r="B266" s="8">
        <v>83233.0</v>
      </c>
      <c r="C266" s="8">
        <v>1901.0</v>
      </c>
      <c r="D266" s="33">
        <v>2625.0</v>
      </c>
      <c r="E266" s="8">
        <v>40.0</v>
      </c>
      <c r="F266" s="33">
        <v>8035.0</v>
      </c>
    </row>
    <row r="267">
      <c r="A267" s="32">
        <v>45923.0</v>
      </c>
      <c r="B267" s="8">
        <v>31103.0</v>
      </c>
      <c r="C267" s="8">
        <v>912.0</v>
      </c>
      <c r="D267" s="33">
        <v>793.0</v>
      </c>
      <c r="E267" s="8">
        <v>12.0</v>
      </c>
      <c r="F267" s="33">
        <v>2327.0</v>
      </c>
    </row>
    <row r="268">
      <c r="A268" s="32">
        <v>45924.0</v>
      </c>
      <c r="B268" s="8">
        <v>70541.0</v>
      </c>
      <c r="C268" s="8">
        <v>2052.0</v>
      </c>
      <c r="D268" s="33">
        <v>1695.0</v>
      </c>
      <c r="E268" s="8">
        <v>46.0</v>
      </c>
      <c r="F268" s="33">
        <v>5255.0</v>
      </c>
    </row>
    <row r="269">
      <c r="A269" s="32">
        <v>45925.0</v>
      </c>
      <c r="B269" s="8">
        <v>80992.0</v>
      </c>
      <c r="C269" s="8">
        <v>1169.0</v>
      </c>
      <c r="D269" s="33">
        <v>1411.0</v>
      </c>
      <c r="E269" s="8">
        <v>16.0</v>
      </c>
      <c r="F269" s="33">
        <v>1739.0</v>
      </c>
    </row>
    <row r="270">
      <c r="A270" s="32">
        <v>45926.0</v>
      </c>
      <c r="B270" s="8">
        <v>89844.0</v>
      </c>
      <c r="C270" s="8">
        <v>2011.0</v>
      </c>
      <c r="D270" s="33">
        <v>2096.0</v>
      </c>
      <c r="E270" s="8">
        <v>51.0</v>
      </c>
      <c r="F270" s="33">
        <v>9222.0</v>
      </c>
    </row>
    <row r="271">
      <c r="A271" s="32">
        <v>45927.0</v>
      </c>
      <c r="B271" s="8">
        <v>53168.0</v>
      </c>
      <c r="C271" s="8">
        <v>884.0</v>
      </c>
      <c r="D271" s="33">
        <v>722.0</v>
      </c>
      <c r="E271" s="8">
        <v>18.0</v>
      </c>
      <c r="F271" s="33">
        <v>3181.0</v>
      </c>
    </row>
    <row r="272">
      <c r="A272" s="32">
        <v>45928.0</v>
      </c>
      <c r="B272" s="8">
        <v>25790.0</v>
      </c>
      <c r="C272" s="8">
        <v>290.0</v>
      </c>
      <c r="D272" s="33">
        <v>229.0</v>
      </c>
      <c r="E272" s="8">
        <v>5.0</v>
      </c>
      <c r="F272" s="33">
        <v>796.0</v>
      </c>
    </row>
    <row r="273">
      <c r="A273" s="32">
        <v>45929.0</v>
      </c>
      <c r="B273" s="8">
        <v>36441.0</v>
      </c>
      <c r="C273" s="8">
        <v>980.0</v>
      </c>
      <c r="D273" s="33">
        <v>812.0</v>
      </c>
      <c r="E273" s="8">
        <v>13.0</v>
      </c>
      <c r="F273" s="33">
        <v>1560.0</v>
      </c>
    </row>
    <row r="274">
      <c r="A274" s="32">
        <v>45930.0</v>
      </c>
      <c r="B274" s="8">
        <v>50459.0</v>
      </c>
      <c r="C274" s="8">
        <v>1404.0</v>
      </c>
      <c r="D274" s="33">
        <v>1414.0</v>
      </c>
      <c r="E274" s="8">
        <v>23.0</v>
      </c>
      <c r="F274" s="33">
        <v>2532.0</v>
      </c>
    </row>
    <row r="275">
      <c r="A275" s="32">
        <v>45931.0</v>
      </c>
      <c r="B275" s="8">
        <v>67085.0</v>
      </c>
      <c r="C275" s="8">
        <v>1912.0</v>
      </c>
      <c r="D275" s="33">
        <v>2178.0</v>
      </c>
      <c r="E275" s="8">
        <v>38.0</v>
      </c>
      <c r="F275" s="33">
        <v>6681.0</v>
      </c>
    </row>
    <row r="276">
      <c r="A276" s="32">
        <v>45932.0</v>
      </c>
      <c r="B276" s="8">
        <v>84767.0</v>
      </c>
      <c r="C276" s="8">
        <v>2601.0</v>
      </c>
      <c r="D276" s="33">
        <v>2572.0</v>
      </c>
      <c r="E276" s="8">
        <v>60.0</v>
      </c>
      <c r="F276" s="33">
        <v>6182.0</v>
      </c>
    </row>
    <row r="277">
      <c r="A277" s="32">
        <v>45933.0</v>
      </c>
      <c r="B277" s="8">
        <v>92837.0</v>
      </c>
      <c r="C277" s="8">
        <v>2278.0</v>
      </c>
      <c r="D277" s="33">
        <v>1400.0</v>
      </c>
      <c r="E277" s="8">
        <v>44.0</v>
      </c>
      <c r="F277" s="33">
        <v>7762.0</v>
      </c>
    </row>
    <row r="278">
      <c r="A278" s="32">
        <v>45934.0</v>
      </c>
      <c r="B278" s="8">
        <v>91518.0</v>
      </c>
      <c r="C278" s="8">
        <v>2090.0</v>
      </c>
      <c r="D278" s="33">
        <v>1932.0</v>
      </c>
      <c r="E278" s="8">
        <v>44.0</v>
      </c>
      <c r="F278" s="33">
        <v>8930.0</v>
      </c>
    </row>
    <row r="279">
      <c r="A279" s="32">
        <v>45935.0</v>
      </c>
      <c r="B279" s="8">
        <v>60713.0</v>
      </c>
      <c r="C279" s="8">
        <v>1004.0</v>
      </c>
      <c r="D279" s="33">
        <v>948.0</v>
      </c>
      <c r="E279" s="8">
        <v>18.0</v>
      </c>
      <c r="F279" s="33">
        <v>2567.0</v>
      </c>
    </row>
    <row r="280">
      <c r="A280" s="32">
        <v>45936.0</v>
      </c>
      <c r="B280" s="8">
        <v>64768.0</v>
      </c>
      <c r="C280" s="8">
        <v>1698.0</v>
      </c>
      <c r="D280" s="33">
        <v>1963.0</v>
      </c>
      <c r="E280" s="8">
        <v>28.0</v>
      </c>
      <c r="F280" s="33">
        <v>5116.0</v>
      </c>
    </row>
    <row r="281">
      <c r="A281" s="32">
        <v>45937.0</v>
      </c>
      <c r="B281" s="8">
        <v>27997.0</v>
      </c>
      <c r="C281" s="8">
        <v>466.0</v>
      </c>
      <c r="D281" s="33">
        <v>375.0</v>
      </c>
      <c r="E281" s="8">
        <v>6.0</v>
      </c>
      <c r="F281" s="33">
        <v>1296.0</v>
      </c>
    </row>
    <row r="282">
      <c r="A282" s="32">
        <v>45938.0</v>
      </c>
      <c r="B282" s="8">
        <v>103912.0</v>
      </c>
      <c r="C282" s="8">
        <v>2549.0</v>
      </c>
      <c r="D282" s="33">
        <v>2582.0</v>
      </c>
      <c r="E282" s="8">
        <v>50.0</v>
      </c>
      <c r="F282" s="33">
        <v>6485.0</v>
      </c>
    </row>
    <row r="283">
      <c r="A283" s="32">
        <v>45939.0</v>
      </c>
      <c r="B283" s="8">
        <v>72249.0</v>
      </c>
      <c r="C283" s="8">
        <v>1466.0</v>
      </c>
      <c r="D283" s="33">
        <v>1286.0</v>
      </c>
      <c r="E283" s="8">
        <v>19.0</v>
      </c>
      <c r="F283" s="33">
        <v>3309.0</v>
      </c>
    </row>
    <row r="284">
      <c r="A284" s="32">
        <v>45940.0</v>
      </c>
      <c r="B284" s="8">
        <v>102424.0</v>
      </c>
      <c r="C284" s="8">
        <v>1770.0</v>
      </c>
      <c r="D284" s="33">
        <v>1333.0</v>
      </c>
      <c r="E284" s="8">
        <v>44.0</v>
      </c>
      <c r="F284" s="33">
        <v>5958.0</v>
      </c>
    </row>
    <row r="285">
      <c r="A285" s="32">
        <v>45941.0</v>
      </c>
      <c r="B285" s="8">
        <v>81040.0</v>
      </c>
      <c r="C285" s="8">
        <v>1374.0</v>
      </c>
      <c r="D285" s="33">
        <v>1105.0</v>
      </c>
      <c r="E285" s="8">
        <v>20.0</v>
      </c>
      <c r="F285" s="33">
        <v>3000.0</v>
      </c>
    </row>
    <row r="286">
      <c r="A286" s="32">
        <v>45942.0</v>
      </c>
      <c r="B286" s="8">
        <v>29842.0</v>
      </c>
      <c r="C286" s="8">
        <v>366.0</v>
      </c>
      <c r="D286" s="33">
        <v>206.0</v>
      </c>
      <c r="E286" s="8">
        <v>3.0</v>
      </c>
      <c r="F286" s="33">
        <v>622.0</v>
      </c>
    </row>
    <row r="287">
      <c r="A287" s="32">
        <v>45943.0</v>
      </c>
      <c r="B287" s="8">
        <v>95787.0</v>
      </c>
      <c r="C287" s="8">
        <v>2949.0</v>
      </c>
      <c r="D287" s="33">
        <v>2021.0</v>
      </c>
      <c r="E287" s="8">
        <v>58.0</v>
      </c>
      <c r="F287" s="33">
        <v>7138.0</v>
      </c>
    </row>
    <row r="288">
      <c r="A288" s="32">
        <v>45944.0</v>
      </c>
      <c r="B288" s="8">
        <v>42877.0</v>
      </c>
      <c r="C288" s="8">
        <v>1058.0</v>
      </c>
      <c r="D288" s="33">
        <v>1050.0</v>
      </c>
      <c r="E288" s="8">
        <v>19.0</v>
      </c>
      <c r="F288" s="33">
        <v>2899.0</v>
      </c>
    </row>
    <row r="289">
      <c r="A289" s="32">
        <v>45945.0</v>
      </c>
      <c r="B289" s="8">
        <v>61603.0</v>
      </c>
      <c r="C289" s="8">
        <v>1306.0</v>
      </c>
      <c r="D289" s="33">
        <v>1510.0</v>
      </c>
      <c r="E289" s="8">
        <v>29.0</v>
      </c>
      <c r="F289" s="33">
        <v>5140.0</v>
      </c>
    </row>
    <row r="290">
      <c r="A290" s="32">
        <v>45946.0</v>
      </c>
      <c r="B290" s="8">
        <v>67465.0</v>
      </c>
      <c r="C290" s="8">
        <v>1104.0</v>
      </c>
      <c r="D290" s="33">
        <v>825.0</v>
      </c>
      <c r="E290" s="8">
        <v>19.0</v>
      </c>
      <c r="F290" s="33">
        <v>3335.0</v>
      </c>
    </row>
    <row r="291">
      <c r="A291" s="32">
        <v>45947.0</v>
      </c>
      <c r="B291" s="8">
        <v>56121.0</v>
      </c>
      <c r="C291" s="8">
        <v>941.0</v>
      </c>
      <c r="D291" s="33">
        <v>1093.0</v>
      </c>
      <c r="E291" s="8">
        <v>12.0</v>
      </c>
      <c r="F291" s="33">
        <v>1462.0</v>
      </c>
    </row>
    <row r="292">
      <c r="A292" s="32">
        <v>45948.0</v>
      </c>
      <c r="B292" s="8">
        <v>33186.0</v>
      </c>
      <c r="C292" s="8">
        <v>386.0</v>
      </c>
      <c r="D292" s="33">
        <v>322.0</v>
      </c>
      <c r="E292" s="8">
        <v>8.0</v>
      </c>
      <c r="F292" s="33">
        <v>1201.0</v>
      </c>
    </row>
    <row r="293">
      <c r="A293" s="32">
        <v>45949.0</v>
      </c>
      <c r="B293" s="8">
        <v>29150.0</v>
      </c>
      <c r="C293" s="8">
        <v>298.0</v>
      </c>
      <c r="D293" s="33">
        <v>301.0</v>
      </c>
      <c r="E293" s="8">
        <v>3.0</v>
      </c>
      <c r="F293" s="33">
        <v>776.0</v>
      </c>
    </row>
    <row r="294">
      <c r="A294" s="32">
        <v>45950.0</v>
      </c>
      <c r="B294" s="8">
        <v>98084.0</v>
      </c>
      <c r="C294" s="8">
        <v>2296.0</v>
      </c>
      <c r="D294" s="33">
        <v>1731.0</v>
      </c>
      <c r="E294" s="8">
        <v>47.0</v>
      </c>
      <c r="F294" s="33">
        <v>6160.0</v>
      </c>
    </row>
    <row r="295">
      <c r="A295" s="32">
        <v>45951.0</v>
      </c>
      <c r="B295" s="8">
        <v>104761.0</v>
      </c>
      <c r="C295" s="8">
        <v>2277.0</v>
      </c>
      <c r="D295" s="33">
        <v>2164.0</v>
      </c>
      <c r="E295" s="8">
        <v>48.0</v>
      </c>
      <c r="F295" s="33">
        <v>4421.0</v>
      </c>
    </row>
    <row r="296">
      <c r="A296" s="32">
        <v>45952.0</v>
      </c>
      <c r="B296" s="8">
        <v>65544.0</v>
      </c>
      <c r="C296" s="8">
        <v>1138.0</v>
      </c>
      <c r="D296" s="33">
        <v>917.0</v>
      </c>
      <c r="E296" s="8">
        <v>17.0</v>
      </c>
      <c r="F296" s="33">
        <v>2100.0</v>
      </c>
    </row>
    <row r="297">
      <c r="A297" s="32">
        <v>45953.0</v>
      </c>
      <c r="B297" s="8">
        <v>70268.0</v>
      </c>
      <c r="C297" s="8">
        <v>986.0</v>
      </c>
      <c r="D297" s="33">
        <v>766.0</v>
      </c>
      <c r="E297" s="8">
        <v>22.0</v>
      </c>
      <c r="F297" s="33">
        <v>4345.0</v>
      </c>
    </row>
    <row r="298">
      <c r="A298" s="32">
        <v>45954.0</v>
      </c>
      <c r="B298" s="8">
        <v>27111.0</v>
      </c>
      <c r="C298" s="8">
        <v>687.0</v>
      </c>
      <c r="D298" s="33">
        <v>455.0</v>
      </c>
      <c r="E298" s="8">
        <v>12.0</v>
      </c>
      <c r="F298" s="33">
        <v>1810.0</v>
      </c>
    </row>
    <row r="299">
      <c r="A299" s="32">
        <v>45955.0</v>
      </c>
      <c r="B299" s="8">
        <v>95429.0</v>
      </c>
      <c r="C299" s="8">
        <v>1563.0</v>
      </c>
      <c r="D299" s="33">
        <v>1379.0</v>
      </c>
      <c r="E299" s="8">
        <v>33.0</v>
      </c>
      <c r="F299" s="33">
        <v>3789.0</v>
      </c>
    </row>
    <row r="300">
      <c r="A300" s="32">
        <v>45956.0</v>
      </c>
      <c r="B300" s="8">
        <v>28585.0</v>
      </c>
      <c r="C300" s="8">
        <v>557.0</v>
      </c>
      <c r="D300" s="33">
        <v>352.0</v>
      </c>
      <c r="E300" s="8">
        <v>9.0</v>
      </c>
      <c r="F300" s="33">
        <v>1706.0</v>
      </c>
    </row>
    <row r="301">
      <c r="A301" s="32">
        <v>45957.0</v>
      </c>
      <c r="B301" s="8">
        <v>58874.0</v>
      </c>
      <c r="C301" s="8">
        <v>1101.0</v>
      </c>
      <c r="D301" s="33">
        <v>776.0</v>
      </c>
      <c r="E301" s="8">
        <v>19.0</v>
      </c>
      <c r="F301" s="33">
        <v>3495.0</v>
      </c>
    </row>
    <row r="302">
      <c r="A302" s="32">
        <v>45958.0</v>
      </c>
      <c r="B302" s="8">
        <v>61164.0</v>
      </c>
      <c r="C302" s="8">
        <v>1116.0</v>
      </c>
      <c r="D302" s="33">
        <v>1041.0</v>
      </c>
      <c r="E302" s="8">
        <v>26.0</v>
      </c>
      <c r="F302" s="33">
        <v>4075.0</v>
      </c>
    </row>
    <row r="303">
      <c r="A303" s="32">
        <v>45959.0</v>
      </c>
      <c r="B303" s="8">
        <v>111859.0</v>
      </c>
      <c r="C303" s="8">
        <v>2516.0</v>
      </c>
      <c r="D303" s="33">
        <v>2524.0</v>
      </c>
      <c r="E303" s="8">
        <v>38.0</v>
      </c>
      <c r="F303" s="33">
        <v>5255.0</v>
      </c>
    </row>
    <row r="304">
      <c r="A304" s="32">
        <v>45960.0</v>
      </c>
      <c r="B304" s="8">
        <v>69058.0</v>
      </c>
      <c r="C304" s="8">
        <v>1486.0</v>
      </c>
      <c r="D304" s="33">
        <v>1130.0</v>
      </c>
      <c r="E304" s="8">
        <v>28.0</v>
      </c>
      <c r="F304" s="33">
        <v>5458.0</v>
      </c>
    </row>
    <row r="305">
      <c r="A305" s="32">
        <v>45961.0</v>
      </c>
      <c r="B305" s="8">
        <v>59125.0</v>
      </c>
      <c r="C305" s="8">
        <v>1690.0</v>
      </c>
      <c r="D305" s="33">
        <v>1453.0</v>
      </c>
      <c r="E305" s="8">
        <v>37.0</v>
      </c>
      <c r="F305" s="33">
        <v>5356.0</v>
      </c>
    </row>
    <row r="306">
      <c r="A306" s="32">
        <v>45962.0</v>
      </c>
      <c r="B306" s="8">
        <v>24384.0</v>
      </c>
      <c r="C306" s="8">
        <v>523.0</v>
      </c>
      <c r="D306" s="33">
        <v>565.0</v>
      </c>
      <c r="E306" s="8">
        <v>10.0</v>
      </c>
      <c r="F306" s="33">
        <v>1928.0</v>
      </c>
    </row>
    <row r="307">
      <c r="A307" s="32">
        <v>45963.0</v>
      </c>
      <c r="B307" s="8">
        <v>102253.0</v>
      </c>
      <c r="C307" s="8">
        <v>2360.0</v>
      </c>
      <c r="D307" s="33">
        <v>1748.0</v>
      </c>
      <c r="E307" s="8">
        <v>29.0</v>
      </c>
      <c r="F307" s="33">
        <v>6406.0</v>
      </c>
    </row>
    <row r="308">
      <c r="A308" s="32">
        <v>45964.0</v>
      </c>
      <c r="B308" s="8">
        <v>22978.0</v>
      </c>
      <c r="C308" s="8">
        <v>301.0</v>
      </c>
      <c r="D308" s="33">
        <v>303.0</v>
      </c>
      <c r="E308" s="8">
        <v>5.0</v>
      </c>
      <c r="F308" s="33">
        <v>1016.0</v>
      </c>
    </row>
    <row r="309">
      <c r="A309" s="32">
        <v>45965.0</v>
      </c>
      <c r="B309" s="8">
        <v>22356.0</v>
      </c>
      <c r="C309" s="8">
        <v>282.0</v>
      </c>
      <c r="D309" s="33">
        <v>352.0</v>
      </c>
      <c r="E309" s="8">
        <v>5.0</v>
      </c>
      <c r="F309" s="33">
        <v>727.0</v>
      </c>
    </row>
    <row r="310">
      <c r="A310" s="32">
        <v>45966.0</v>
      </c>
      <c r="B310" s="8">
        <v>30617.0</v>
      </c>
      <c r="C310" s="8">
        <v>578.0</v>
      </c>
      <c r="D310" s="33">
        <v>609.0</v>
      </c>
      <c r="E310" s="8">
        <v>12.0</v>
      </c>
      <c r="F310" s="33">
        <v>1928.0</v>
      </c>
    </row>
    <row r="311">
      <c r="A311" s="32">
        <v>45967.0</v>
      </c>
      <c r="B311" s="8">
        <v>105759.0</v>
      </c>
      <c r="C311" s="8">
        <v>3339.0</v>
      </c>
      <c r="D311" s="33">
        <v>2154.0</v>
      </c>
      <c r="E311" s="8">
        <v>77.0</v>
      </c>
      <c r="F311" s="33">
        <v>13277.0</v>
      </c>
    </row>
    <row r="312">
      <c r="A312" s="32">
        <v>45968.0</v>
      </c>
      <c r="B312" s="8">
        <v>47770.0</v>
      </c>
      <c r="C312" s="8">
        <v>832.0</v>
      </c>
      <c r="D312" s="33">
        <v>951.0</v>
      </c>
      <c r="E312" s="8">
        <v>16.0</v>
      </c>
      <c r="F312" s="33">
        <v>1892.0</v>
      </c>
    </row>
    <row r="313">
      <c r="A313" s="32">
        <v>45969.0</v>
      </c>
      <c r="B313" s="8">
        <v>102215.0</v>
      </c>
      <c r="C313" s="8">
        <v>2596.0</v>
      </c>
      <c r="D313" s="33">
        <v>2138.0</v>
      </c>
      <c r="E313" s="8">
        <v>67.0</v>
      </c>
      <c r="F313" s="33">
        <v>10821.0</v>
      </c>
    </row>
    <row r="314">
      <c r="A314" s="32">
        <v>45970.0</v>
      </c>
      <c r="B314" s="8">
        <v>79967.0</v>
      </c>
      <c r="C314" s="8">
        <v>1954.0</v>
      </c>
      <c r="D314" s="33">
        <v>2126.0</v>
      </c>
      <c r="E314" s="8">
        <v>49.0</v>
      </c>
      <c r="F314" s="33">
        <v>7434.0</v>
      </c>
    </row>
    <row r="315">
      <c r="A315" s="32">
        <v>45971.0</v>
      </c>
      <c r="B315" s="8">
        <v>30876.0</v>
      </c>
      <c r="C315" s="8">
        <v>582.0</v>
      </c>
      <c r="D315" s="33">
        <v>442.0</v>
      </c>
      <c r="E315" s="8">
        <v>12.0</v>
      </c>
      <c r="F315" s="33">
        <v>1772.0</v>
      </c>
    </row>
    <row r="316">
      <c r="A316" s="32">
        <v>45972.0</v>
      </c>
      <c r="B316" s="8">
        <v>49477.0</v>
      </c>
      <c r="C316" s="8">
        <v>541.0</v>
      </c>
      <c r="D316" s="33">
        <v>319.0</v>
      </c>
      <c r="E316" s="8">
        <v>13.0</v>
      </c>
      <c r="F316" s="33">
        <v>1516.0</v>
      </c>
    </row>
    <row r="317">
      <c r="A317" s="32">
        <v>45973.0</v>
      </c>
      <c r="B317" s="8">
        <v>64687.0</v>
      </c>
      <c r="C317" s="8">
        <v>881.0</v>
      </c>
      <c r="D317" s="33">
        <v>1077.0</v>
      </c>
      <c r="E317" s="8">
        <v>17.0</v>
      </c>
      <c r="F317" s="33">
        <v>3909.0</v>
      </c>
    </row>
    <row r="318">
      <c r="A318" s="32">
        <v>45974.0</v>
      </c>
      <c r="B318" s="8">
        <v>105163.0</v>
      </c>
      <c r="C318" s="8">
        <v>3106.0</v>
      </c>
      <c r="D318" s="33">
        <v>2246.0</v>
      </c>
      <c r="E318" s="8">
        <v>37.0</v>
      </c>
      <c r="F318" s="33">
        <v>4117.0</v>
      </c>
    </row>
    <row r="319">
      <c r="A319" s="32">
        <v>45975.0</v>
      </c>
      <c r="B319" s="8">
        <v>93878.0</v>
      </c>
      <c r="C319" s="8">
        <v>1738.0</v>
      </c>
      <c r="D319" s="33">
        <v>1830.0</v>
      </c>
      <c r="E319" s="8">
        <v>22.0</v>
      </c>
      <c r="F319" s="33">
        <v>3306.0</v>
      </c>
    </row>
    <row r="320">
      <c r="A320" s="32">
        <v>45976.0</v>
      </c>
      <c r="B320" s="8">
        <v>82506.0</v>
      </c>
      <c r="C320" s="8">
        <v>1380.0</v>
      </c>
      <c r="D320" s="33">
        <v>1089.0</v>
      </c>
      <c r="E320" s="8">
        <v>21.0</v>
      </c>
      <c r="F320" s="33">
        <v>2566.0</v>
      </c>
    </row>
    <row r="321">
      <c r="A321" s="32">
        <v>45977.0</v>
      </c>
      <c r="B321" s="8">
        <v>60772.0</v>
      </c>
      <c r="C321" s="8">
        <v>774.0</v>
      </c>
      <c r="D321" s="33">
        <v>625.0</v>
      </c>
      <c r="E321" s="8">
        <v>14.0</v>
      </c>
      <c r="F321" s="33">
        <v>2168.0</v>
      </c>
    </row>
    <row r="322">
      <c r="A322" s="32">
        <v>45978.0</v>
      </c>
      <c r="B322" s="8">
        <v>75895.0</v>
      </c>
      <c r="C322" s="8">
        <v>2300.0</v>
      </c>
      <c r="D322" s="33">
        <v>2068.0</v>
      </c>
      <c r="E322" s="8">
        <v>60.0</v>
      </c>
      <c r="F322" s="33">
        <v>9409.0</v>
      </c>
    </row>
    <row r="323">
      <c r="A323" s="32">
        <v>45979.0</v>
      </c>
      <c r="B323" s="8">
        <v>85574.0</v>
      </c>
      <c r="C323" s="8">
        <v>1380.0</v>
      </c>
      <c r="D323" s="33">
        <v>1193.0</v>
      </c>
      <c r="E323" s="8">
        <v>28.0</v>
      </c>
      <c r="F323" s="33">
        <v>5019.0</v>
      </c>
    </row>
    <row r="324">
      <c r="A324" s="32">
        <v>45980.0</v>
      </c>
      <c r="B324" s="8">
        <v>71516.0</v>
      </c>
      <c r="C324" s="8">
        <v>810.0</v>
      </c>
      <c r="D324" s="33">
        <v>1104.0</v>
      </c>
      <c r="E324" s="8">
        <v>13.0</v>
      </c>
      <c r="F324" s="33">
        <v>1996.0</v>
      </c>
    </row>
    <row r="325">
      <c r="A325" s="32">
        <v>45981.0</v>
      </c>
      <c r="B325" s="8">
        <v>93071.0</v>
      </c>
      <c r="C325" s="8">
        <v>1752.0</v>
      </c>
      <c r="D325" s="33">
        <v>1370.0</v>
      </c>
      <c r="E325" s="8">
        <v>43.0</v>
      </c>
      <c r="F325" s="33">
        <v>7494.0</v>
      </c>
    </row>
    <row r="326">
      <c r="A326" s="32">
        <v>45982.0</v>
      </c>
      <c r="B326" s="8">
        <v>34577.0</v>
      </c>
      <c r="C326" s="8">
        <v>355.0</v>
      </c>
      <c r="D326" s="33">
        <v>353.0</v>
      </c>
      <c r="E326" s="8">
        <v>7.0</v>
      </c>
      <c r="F326" s="33">
        <v>1639.0</v>
      </c>
    </row>
    <row r="327">
      <c r="A327" s="32">
        <v>45983.0</v>
      </c>
      <c r="B327" s="8">
        <v>107430.0</v>
      </c>
      <c r="C327" s="8">
        <v>3134.0</v>
      </c>
      <c r="D327" s="33">
        <v>2650.0</v>
      </c>
      <c r="E327" s="8">
        <v>39.0</v>
      </c>
      <c r="F327" s="33">
        <v>5381.0</v>
      </c>
    </row>
    <row r="328">
      <c r="A328" s="32">
        <v>45984.0</v>
      </c>
      <c r="B328" s="8">
        <v>68697.0</v>
      </c>
      <c r="C328" s="8">
        <v>1033.0</v>
      </c>
      <c r="D328" s="33">
        <v>1007.0</v>
      </c>
      <c r="E328" s="8">
        <v>11.0</v>
      </c>
      <c r="F328" s="33">
        <v>2310.0</v>
      </c>
    </row>
    <row r="329">
      <c r="A329" s="32">
        <v>45985.0</v>
      </c>
      <c r="B329" s="8">
        <v>62015.0</v>
      </c>
      <c r="C329" s="8">
        <v>1020.0</v>
      </c>
      <c r="D329" s="33">
        <v>885.0</v>
      </c>
      <c r="E329" s="8">
        <v>12.0</v>
      </c>
      <c r="F329" s="33">
        <v>1911.0</v>
      </c>
    </row>
    <row r="330">
      <c r="A330" s="32">
        <v>45986.0</v>
      </c>
      <c r="B330" s="8">
        <v>26230.0</v>
      </c>
      <c r="C330" s="8">
        <v>296.0</v>
      </c>
      <c r="D330" s="33">
        <v>277.0</v>
      </c>
      <c r="E330" s="8">
        <v>3.0</v>
      </c>
      <c r="F330" s="33">
        <v>700.0</v>
      </c>
    </row>
    <row r="331">
      <c r="A331" s="32">
        <v>45987.0</v>
      </c>
      <c r="B331" s="8">
        <v>28554.0</v>
      </c>
      <c r="C331" s="8">
        <v>232.0</v>
      </c>
      <c r="D331" s="33">
        <v>239.0</v>
      </c>
      <c r="E331" s="8">
        <v>3.0</v>
      </c>
      <c r="F331" s="33">
        <v>548.0</v>
      </c>
    </row>
    <row r="332">
      <c r="A332" s="32">
        <v>45988.0</v>
      </c>
      <c r="B332" s="8">
        <v>22922.0</v>
      </c>
      <c r="C332" s="8">
        <v>323.0</v>
      </c>
      <c r="D332" s="33">
        <v>329.0</v>
      </c>
      <c r="E332" s="8">
        <v>3.0</v>
      </c>
      <c r="F332" s="33">
        <v>727.0</v>
      </c>
    </row>
    <row r="333">
      <c r="A333" s="32">
        <v>45989.0</v>
      </c>
      <c r="B333" s="8">
        <v>96010.0</v>
      </c>
      <c r="C333" s="8">
        <v>2502.0</v>
      </c>
      <c r="D333" s="33">
        <v>2679.0</v>
      </c>
      <c r="E333" s="8">
        <v>30.0</v>
      </c>
      <c r="F333" s="33">
        <v>3420.0</v>
      </c>
    </row>
    <row r="334">
      <c r="A334" s="32">
        <v>45990.0</v>
      </c>
      <c r="B334" s="8">
        <v>38758.0</v>
      </c>
      <c r="C334" s="8">
        <v>852.0</v>
      </c>
      <c r="D334" s="33">
        <v>894.0</v>
      </c>
      <c r="E334" s="8">
        <v>12.0</v>
      </c>
      <c r="F334" s="33">
        <v>2479.0</v>
      </c>
    </row>
    <row r="335">
      <c r="A335" s="32">
        <v>45991.0</v>
      </c>
      <c r="B335" s="8">
        <v>45666.0</v>
      </c>
      <c r="C335" s="8">
        <v>1244.0</v>
      </c>
      <c r="D335" s="33">
        <v>1187.0</v>
      </c>
      <c r="E335" s="8">
        <v>20.0</v>
      </c>
      <c r="F335" s="33">
        <v>3903.0</v>
      </c>
    </row>
    <row r="336">
      <c r="A336" s="32">
        <v>45992.0</v>
      </c>
      <c r="B336" s="8">
        <v>75919.0</v>
      </c>
      <c r="C336" s="8">
        <v>2098.0</v>
      </c>
      <c r="D336" s="33">
        <v>2418.0</v>
      </c>
      <c r="E336" s="8">
        <v>37.0</v>
      </c>
      <c r="F336" s="33">
        <v>5712.0</v>
      </c>
    </row>
    <row r="337">
      <c r="A337" s="32">
        <v>45993.0</v>
      </c>
      <c r="B337" s="8">
        <v>78510.0</v>
      </c>
      <c r="C337" s="8">
        <v>1614.0</v>
      </c>
      <c r="D337" s="33">
        <v>2062.0</v>
      </c>
      <c r="E337" s="8">
        <v>43.0</v>
      </c>
      <c r="F337" s="33">
        <v>6924.0</v>
      </c>
    </row>
    <row r="338">
      <c r="A338" s="32">
        <v>45994.0</v>
      </c>
      <c r="B338" s="8">
        <v>55276.0</v>
      </c>
      <c r="C338" s="8">
        <v>647.0</v>
      </c>
      <c r="D338" s="33">
        <v>1018.0</v>
      </c>
      <c r="E338" s="8">
        <v>14.0</v>
      </c>
      <c r="F338" s="33">
        <v>2852.0</v>
      </c>
    </row>
    <row r="339">
      <c r="A339" s="32">
        <v>45995.0</v>
      </c>
      <c r="B339" s="8">
        <v>92609.0</v>
      </c>
      <c r="C339" s="8">
        <v>2428.0</v>
      </c>
      <c r="D339" s="33">
        <v>3901.0</v>
      </c>
      <c r="E339" s="8">
        <v>81.0</v>
      </c>
      <c r="F339" s="33">
        <v>11594.0</v>
      </c>
    </row>
    <row r="340">
      <c r="A340" s="32">
        <v>45996.0</v>
      </c>
      <c r="B340" s="8">
        <v>66369.0</v>
      </c>
      <c r="C340" s="8">
        <v>735.0</v>
      </c>
      <c r="D340" s="33">
        <v>995.0</v>
      </c>
      <c r="E340" s="8">
        <v>24.0</v>
      </c>
      <c r="F340" s="33">
        <v>2436.0</v>
      </c>
    </row>
    <row r="341">
      <c r="A341" s="32">
        <v>45997.0</v>
      </c>
      <c r="B341" s="8">
        <v>50905.0</v>
      </c>
      <c r="C341" s="8">
        <v>1581.0</v>
      </c>
      <c r="D341" s="33">
        <v>2340.0</v>
      </c>
      <c r="E341" s="8">
        <v>30.0</v>
      </c>
      <c r="F341" s="33">
        <v>4082.0</v>
      </c>
    </row>
    <row r="342">
      <c r="A342" s="32">
        <v>45998.0</v>
      </c>
      <c r="B342" s="8">
        <v>61287.0</v>
      </c>
      <c r="C342" s="8">
        <v>1317.0</v>
      </c>
      <c r="D342" s="33">
        <v>1657.0</v>
      </c>
      <c r="E342" s="8">
        <v>37.0</v>
      </c>
      <c r="F342" s="33">
        <v>4739.0</v>
      </c>
    </row>
    <row r="343">
      <c r="A343" s="32">
        <v>45999.0</v>
      </c>
      <c r="B343" s="8">
        <v>87758.0</v>
      </c>
      <c r="C343" s="8">
        <v>1633.0</v>
      </c>
      <c r="D343" s="33">
        <v>2491.0</v>
      </c>
      <c r="E343" s="8">
        <v>37.0</v>
      </c>
      <c r="F343" s="33">
        <v>6428.0</v>
      </c>
    </row>
    <row r="344">
      <c r="A344" s="32">
        <v>46000.0</v>
      </c>
      <c r="B344" s="8">
        <v>57427.0</v>
      </c>
      <c r="C344" s="8">
        <v>1643.0</v>
      </c>
      <c r="D344" s="33">
        <v>2313.0</v>
      </c>
      <c r="E344" s="8">
        <v>49.0</v>
      </c>
      <c r="F344" s="33">
        <v>5060.0</v>
      </c>
    </row>
    <row r="345">
      <c r="A345" s="32">
        <v>46001.0</v>
      </c>
      <c r="B345" s="8">
        <v>37906.0</v>
      </c>
      <c r="C345" s="8">
        <v>824.0</v>
      </c>
      <c r="D345" s="33">
        <v>1292.0</v>
      </c>
      <c r="E345" s="8">
        <v>14.0</v>
      </c>
      <c r="F345" s="33">
        <v>1401.0</v>
      </c>
    </row>
    <row r="346">
      <c r="A346" s="32">
        <v>46002.0</v>
      </c>
      <c r="B346" s="8">
        <v>59431.0</v>
      </c>
      <c r="C346" s="8">
        <v>763.0</v>
      </c>
      <c r="D346" s="33">
        <v>1249.0</v>
      </c>
      <c r="E346" s="8">
        <v>12.0</v>
      </c>
      <c r="F346" s="33">
        <v>1779.0</v>
      </c>
    </row>
    <row r="347">
      <c r="A347" s="32">
        <v>46003.0</v>
      </c>
      <c r="B347" s="8">
        <v>36557.0</v>
      </c>
      <c r="C347" s="8">
        <v>346.0</v>
      </c>
      <c r="D347" s="33">
        <v>510.0</v>
      </c>
      <c r="E347" s="8">
        <v>5.0</v>
      </c>
      <c r="F347" s="33">
        <v>515.0</v>
      </c>
    </row>
    <row r="348">
      <c r="A348" s="32">
        <v>46004.0</v>
      </c>
      <c r="B348" s="8">
        <v>84272.0</v>
      </c>
      <c r="C348" s="8">
        <v>2113.0</v>
      </c>
      <c r="D348" s="33">
        <v>2511.0</v>
      </c>
      <c r="E348" s="8">
        <v>58.0</v>
      </c>
      <c r="F348" s="33">
        <v>5962.0</v>
      </c>
    </row>
    <row r="349">
      <c r="A349" s="32">
        <v>46005.0</v>
      </c>
      <c r="B349" s="8">
        <v>26243.0</v>
      </c>
      <c r="C349" s="8">
        <v>640.0</v>
      </c>
      <c r="D349" s="33">
        <v>1065.0</v>
      </c>
      <c r="E349" s="8">
        <v>13.0</v>
      </c>
      <c r="F349" s="33">
        <v>2217.0</v>
      </c>
    </row>
    <row r="350">
      <c r="A350" s="32">
        <v>46006.0</v>
      </c>
      <c r="B350" s="8">
        <v>86600.0</v>
      </c>
      <c r="C350" s="8">
        <v>2739.0</v>
      </c>
      <c r="D350" s="33">
        <v>3791.0</v>
      </c>
      <c r="E350" s="8">
        <v>79.0</v>
      </c>
      <c r="F350" s="33">
        <v>5597.0</v>
      </c>
    </row>
    <row r="351">
      <c r="A351" s="32">
        <v>46007.0</v>
      </c>
      <c r="B351" s="8">
        <v>72407.0</v>
      </c>
      <c r="C351" s="8">
        <v>2202.0</v>
      </c>
      <c r="D351" s="33">
        <v>2457.0</v>
      </c>
      <c r="E351" s="8">
        <v>73.0</v>
      </c>
      <c r="F351" s="33">
        <v>11209.0</v>
      </c>
    </row>
    <row r="352">
      <c r="A352" s="32">
        <v>46008.0</v>
      </c>
      <c r="B352" s="8">
        <v>39996.0</v>
      </c>
      <c r="C352" s="8">
        <v>685.0</v>
      </c>
      <c r="D352" s="33">
        <v>769.0</v>
      </c>
      <c r="E352" s="8">
        <v>11.0</v>
      </c>
      <c r="F352" s="33">
        <v>1781.0</v>
      </c>
    </row>
    <row r="353">
      <c r="A353" s="32">
        <v>46009.0</v>
      </c>
      <c r="B353" s="8">
        <v>74822.0</v>
      </c>
      <c r="C353" s="8">
        <v>1589.0</v>
      </c>
      <c r="D353" s="33">
        <v>2131.0</v>
      </c>
      <c r="E353" s="8">
        <v>40.0</v>
      </c>
      <c r="F353" s="33">
        <v>5856.0</v>
      </c>
    </row>
    <row r="354">
      <c r="A354" s="32">
        <v>46010.0</v>
      </c>
      <c r="B354" s="8">
        <v>65011.0</v>
      </c>
      <c r="C354" s="8">
        <v>2207.0</v>
      </c>
      <c r="D354" s="33">
        <v>3436.0</v>
      </c>
      <c r="E354" s="8">
        <v>49.0</v>
      </c>
      <c r="F354" s="33">
        <v>4809.0</v>
      </c>
    </row>
    <row r="355">
      <c r="A355" s="32">
        <v>46011.0</v>
      </c>
      <c r="B355" s="8">
        <v>89340.0</v>
      </c>
      <c r="C355" s="8">
        <v>2314.0</v>
      </c>
      <c r="D355" s="33">
        <v>2856.0</v>
      </c>
      <c r="E355" s="8">
        <v>42.0</v>
      </c>
      <c r="F355" s="33">
        <v>6143.0</v>
      </c>
    </row>
    <row r="356">
      <c r="A356" s="32">
        <v>46012.0</v>
      </c>
      <c r="B356" s="8">
        <v>28734.0</v>
      </c>
      <c r="C356" s="8">
        <v>274.0</v>
      </c>
      <c r="D356" s="33">
        <v>312.0</v>
      </c>
      <c r="E356" s="8">
        <v>5.0</v>
      </c>
      <c r="F356" s="33">
        <v>779.0</v>
      </c>
    </row>
    <row r="357">
      <c r="A357" s="32">
        <v>46013.0</v>
      </c>
      <c r="B357" s="8">
        <v>58608.0</v>
      </c>
      <c r="C357" s="8">
        <v>956.0</v>
      </c>
      <c r="D357" s="33">
        <v>1166.0</v>
      </c>
      <c r="E357" s="8">
        <v>17.0</v>
      </c>
      <c r="F357" s="33">
        <v>1734.0</v>
      </c>
    </row>
    <row r="358">
      <c r="A358" s="32">
        <v>46014.0</v>
      </c>
      <c r="B358" s="8">
        <v>59262.0</v>
      </c>
      <c r="C358" s="8">
        <v>700.0</v>
      </c>
      <c r="D358" s="33">
        <v>874.0</v>
      </c>
      <c r="E358" s="8">
        <v>21.0</v>
      </c>
      <c r="F358" s="33">
        <v>2884.0</v>
      </c>
    </row>
    <row r="359">
      <c r="A359" s="32">
        <v>46015.0</v>
      </c>
      <c r="B359" s="8">
        <v>73767.0</v>
      </c>
      <c r="C359" s="8">
        <v>1761.0</v>
      </c>
      <c r="D359" s="33">
        <v>1722.0</v>
      </c>
      <c r="E359" s="8">
        <v>36.0</v>
      </c>
      <c r="F359" s="33">
        <v>4101.0</v>
      </c>
    </row>
    <row r="360">
      <c r="A360" s="32">
        <v>46016.0</v>
      </c>
      <c r="B360" s="8">
        <v>90803.0</v>
      </c>
      <c r="C360" s="8">
        <v>1235.0</v>
      </c>
      <c r="D360" s="33">
        <v>1204.0</v>
      </c>
      <c r="E360" s="8">
        <v>29.0</v>
      </c>
      <c r="F360" s="33">
        <v>2943.0</v>
      </c>
    </row>
    <row r="361">
      <c r="A361" s="32">
        <v>46017.0</v>
      </c>
      <c r="B361" s="8">
        <v>35548.0</v>
      </c>
      <c r="C361" s="8">
        <v>568.0</v>
      </c>
      <c r="D361" s="33">
        <v>602.0</v>
      </c>
      <c r="E361" s="8">
        <v>9.0</v>
      </c>
      <c r="F361" s="33">
        <v>1336.0</v>
      </c>
    </row>
    <row r="362">
      <c r="A362" s="32">
        <v>46018.0</v>
      </c>
      <c r="B362" s="8">
        <v>84233.0</v>
      </c>
      <c r="C362" s="8">
        <v>2171.0</v>
      </c>
      <c r="D362" s="33">
        <v>1948.0</v>
      </c>
      <c r="E362" s="8">
        <v>37.0</v>
      </c>
      <c r="F362" s="33">
        <v>4579.0</v>
      </c>
    </row>
    <row r="363">
      <c r="A363" s="32">
        <v>46019.0</v>
      </c>
      <c r="B363" s="8">
        <v>75236.0</v>
      </c>
      <c r="C363" s="8">
        <v>2160.0</v>
      </c>
      <c r="D363" s="33">
        <v>3188.0</v>
      </c>
      <c r="E363" s="8">
        <v>46.0</v>
      </c>
      <c r="F363" s="33">
        <v>5751.0</v>
      </c>
    </row>
    <row r="364">
      <c r="A364" s="32">
        <v>46020.0</v>
      </c>
      <c r="B364" s="8">
        <v>57807.0</v>
      </c>
      <c r="C364" s="8">
        <v>969.0</v>
      </c>
      <c r="D364" s="33">
        <v>959.0</v>
      </c>
      <c r="E364" s="8">
        <v>16.0</v>
      </c>
      <c r="F364" s="33">
        <v>1453.0</v>
      </c>
    </row>
    <row r="365">
      <c r="A365" s="32">
        <v>46021.0</v>
      </c>
      <c r="B365" s="8">
        <v>48189.0</v>
      </c>
      <c r="C365" s="8">
        <v>1097.0</v>
      </c>
      <c r="D365" s="33">
        <v>1362.0</v>
      </c>
      <c r="E365" s="8">
        <v>24.0</v>
      </c>
      <c r="F365" s="33">
        <v>4209.0</v>
      </c>
    </row>
    <row r="366">
      <c r="A366" s="32">
        <v>46022.0</v>
      </c>
      <c r="B366" s="8">
        <v>79467.0</v>
      </c>
      <c r="C366" s="8">
        <v>2002.0</v>
      </c>
      <c r="D366" s="33">
        <v>2063.0</v>
      </c>
      <c r="E366" s="8">
        <v>46.0</v>
      </c>
      <c r="F366" s="33">
        <v>5993.0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38"/>
  </cols>
  <sheetData>
    <row r="1" ht="15.0" customHeight="1">
      <c r="A1" s="3" t="s">
        <v>1</v>
      </c>
      <c r="B1" s="3" t="s">
        <v>0</v>
      </c>
      <c r="C1" s="3" t="s">
        <v>2</v>
      </c>
      <c r="D1" s="5" t="s">
        <v>5</v>
      </c>
      <c r="E1" s="3" t="s">
        <v>3</v>
      </c>
      <c r="F1" s="3" t="s">
        <v>8</v>
      </c>
      <c r="G1" s="3" t="s">
        <v>11</v>
      </c>
      <c r="H1" s="3" t="s">
        <v>4</v>
      </c>
      <c r="I1" s="5" t="s">
        <v>12</v>
      </c>
      <c r="J1" s="1" t="s">
        <v>6</v>
      </c>
      <c r="K1" s="3" t="s">
        <v>9</v>
      </c>
      <c r="L1" s="3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>
        <f>'Tiktok Raw Data'!A2</f>
        <v>45658</v>
      </c>
      <c r="B2" s="14">
        <f t="shared" ref="B2:B366" si="1">MONTH(A2)</f>
        <v>1</v>
      </c>
      <c r="C2" s="12">
        <f>'Tiktok Raw Data'!B2</f>
        <v>37761</v>
      </c>
      <c r="D2" s="17">
        <f t="shared" ref="D2:D366" si="2">E2/C2</f>
        <v>0.01814040942</v>
      </c>
      <c r="E2" s="12">
        <f>'Tiktok Raw Data'!C2</f>
        <v>685</v>
      </c>
      <c r="F2" s="19">
        <f t="shared" ref="F2:F366" si="3">H2/E2</f>
        <v>0.7576642336</v>
      </c>
      <c r="G2" s="19">
        <f t="shared" ref="G2:G366" si="4">H2/(C2/1000)</f>
        <v>13.7443394</v>
      </c>
      <c r="H2" s="19">
        <f>'Tiktok Raw Data'!D2</f>
        <v>519</v>
      </c>
      <c r="I2" s="17">
        <f t="shared" ref="I2:I366" si="5">J2/E2</f>
        <v>0.01605839416</v>
      </c>
      <c r="J2" s="20">
        <f>'Tiktok Raw Data'!E2</f>
        <v>11</v>
      </c>
      <c r="K2" s="19">
        <f t="shared" ref="K2:K366" si="6">L2/J2</f>
        <v>155.5454545</v>
      </c>
      <c r="L2" s="19">
        <f>'Tiktok Raw Data'!F2</f>
        <v>1711</v>
      </c>
    </row>
    <row r="3">
      <c r="A3" s="11">
        <f>'Tiktok Raw Data'!A3</f>
        <v>45659</v>
      </c>
      <c r="B3" s="14">
        <f t="shared" si="1"/>
        <v>1</v>
      </c>
      <c r="C3" s="12">
        <f>'Tiktok Raw Data'!B3</f>
        <v>113622</v>
      </c>
      <c r="D3" s="17">
        <f t="shared" si="2"/>
        <v>0.01882557955</v>
      </c>
      <c r="E3" s="12">
        <f>'Tiktok Raw Data'!C3</f>
        <v>2139</v>
      </c>
      <c r="F3" s="19">
        <f t="shared" si="3"/>
        <v>0.8990182328</v>
      </c>
      <c r="G3" s="19">
        <f t="shared" si="4"/>
        <v>16.92453926</v>
      </c>
      <c r="H3" s="19">
        <f>'Tiktok Raw Data'!D3</f>
        <v>1923</v>
      </c>
      <c r="I3" s="17">
        <f t="shared" si="5"/>
        <v>0.02337540907</v>
      </c>
      <c r="J3" s="20">
        <f>'Tiktok Raw Data'!E3</f>
        <v>50</v>
      </c>
      <c r="K3" s="19">
        <f t="shared" si="6"/>
        <v>125.24</v>
      </c>
      <c r="L3" s="19">
        <f>'Tiktok Raw Data'!F3</f>
        <v>6262</v>
      </c>
    </row>
    <row r="4">
      <c r="A4" s="11">
        <f>'Tiktok Raw Data'!A4</f>
        <v>45660</v>
      </c>
      <c r="B4" s="14">
        <f t="shared" si="1"/>
        <v>1</v>
      </c>
      <c r="C4" s="12">
        <f>'Tiktok Raw Data'!B4</f>
        <v>25676</v>
      </c>
      <c r="D4" s="17">
        <f t="shared" si="2"/>
        <v>0.01402087553</v>
      </c>
      <c r="E4" s="12">
        <f>'Tiktok Raw Data'!C4</f>
        <v>360</v>
      </c>
      <c r="F4" s="19">
        <f t="shared" si="3"/>
        <v>0.75</v>
      </c>
      <c r="G4" s="19">
        <f t="shared" si="4"/>
        <v>10.51565664</v>
      </c>
      <c r="H4" s="19">
        <f>'Tiktok Raw Data'!D4</f>
        <v>270</v>
      </c>
      <c r="I4" s="17">
        <f t="shared" si="5"/>
        <v>0.01944444444</v>
      </c>
      <c r="J4" s="20">
        <f>'Tiktok Raw Data'!E4</f>
        <v>7</v>
      </c>
      <c r="K4" s="19">
        <f t="shared" si="6"/>
        <v>123</v>
      </c>
      <c r="L4" s="19">
        <f>'Tiktok Raw Data'!F4</f>
        <v>861</v>
      </c>
    </row>
    <row r="5">
      <c r="A5" s="11">
        <f>'Tiktok Raw Data'!A5</f>
        <v>45661</v>
      </c>
      <c r="B5" s="14">
        <f t="shared" si="1"/>
        <v>1</v>
      </c>
      <c r="C5" s="12">
        <f>'Tiktok Raw Data'!B5</f>
        <v>55742</v>
      </c>
      <c r="D5" s="17">
        <f t="shared" si="2"/>
        <v>0.01663018909</v>
      </c>
      <c r="E5" s="12">
        <f>'Tiktok Raw Data'!C5</f>
        <v>927</v>
      </c>
      <c r="F5" s="19">
        <f t="shared" si="3"/>
        <v>1.025889968</v>
      </c>
      <c r="G5" s="19">
        <f t="shared" si="4"/>
        <v>17.06074414</v>
      </c>
      <c r="H5" s="19">
        <f>'Tiktok Raw Data'!D5</f>
        <v>951</v>
      </c>
      <c r="I5" s="17">
        <f t="shared" si="5"/>
        <v>0.01725997843</v>
      </c>
      <c r="J5" s="20">
        <f>'Tiktok Raw Data'!E5</f>
        <v>16</v>
      </c>
      <c r="K5" s="19">
        <f t="shared" si="6"/>
        <v>220.75</v>
      </c>
      <c r="L5" s="19">
        <f>'Tiktok Raw Data'!F5</f>
        <v>3532</v>
      </c>
    </row>
    <row r="6">
      <c r="A6" s="11">
        <f>'Tiktok Raw Data'!A6</f>
        <v>45662</v>
      </c>
      <c r="B6" s="14">
        <f t="shared" si="1"/>
        <v>1</v>
      </c>
      <c r="C6" s="12">
        <f>'Tiktok Raw Data'!B6</f>
        <v>50034</v>
      </c>
      <c r="D6" s="17">
        <f t="shared" si="2"/>
        <v>0.01337090778</v>
      </c>
      <c r="E6" s="12">
        <f>'Tiktok Raw Data'!C6</f>
        <v>669</v>
      </c>
      <c r="F6" s="19">
        <f t="shared" si="3"/>
        <v>0.8789237668</v>
      </c>
      <c r="G6" s="19">
        <f t="shared" si="4"/>
        <v>11.75200863</v>
      </c>
      <c r="H6" s="19">
        <f>'Tiktok Raw Data'!D6</f>
        <v>588</v>
      </c>
      <c r="I6" s="17">
        <f t="shared" si="5"/>
        <v>0.02242152466</v>
      </c>
      <c r="J6" s="20">
        <f>'Tiktok Raw Data'!E6</f>
        <v>15</v>
      </c>
      <c r="K6" s="19">
        <f t="shared" si="6"/>
        <v>230.9333333</v>
      </c>
      <c r="L6" s="19">
        <f>'Tiktok Raw Data'!F6</f>
        <v>3464</v>
      </c>
    </row>
    <row r="7">
      <c r="A7" s="11">
        <f>'Tiktok Raw Data'!A7</f>
        <v>45663</v>
      </c>
      <c r="B7" s="14">
        <f t="shared" si="1"/>
        <v>1</v>
      </c>
      <c r="C7" s="12">
        <f>'Tiktok Raw Data'!B7</f>
        <v>72795</v>
      </c>
      <c r="D7" s="17">
        <f t="shared" si="2"/>
        <v>0.01822927399</v>
      </c>
      <c r="E7" s="12">
        <f>'Tiktok Raw Data'!C7</f>
        <v>1327</v>
      </c>
      <c r="F7" s="19">
        <f t="shared" si="3"/>
        <v>1.103240392</v>
      </c>
      <c r="G7" s="19">
        <f t="shared" si="4"/>
        <v>20.11127138</v>
      </c>
      <c r="H7" s="19">
        <f>'Tiktok Raw Data'!D7</f>
        <v>1464</v>
      </c>
      <c r="I7" s="17">
        <f t="shared" si="5"/>
        <v>0.01657874906</v>
      </c>
      <c r="J7" s="20">
        <f>'Tiktok Raw Data'!E7</f>
        <v>22</v>
      </c>
      <c r="K7" s="19">
        <f t="shared" si="6"/>
        <v>172.9090909</v>
      </c>
      <c r="L7" s="19">
        <f>'Tiktok Raw Data'!F7</f>
        <v>3804</v>
      </c>
    </row>
    <row r="8">
      <c r="A8" s="11">
        <f>'Tiktok Raw Data'!A8</f>
        <v>45664</v>
      </c>
      <c r="B8" s="14">
        <f t="shared" si="1"/>
        <v>1</v>
      </c>
      <c r="C8" s="12">
        <f>'Tiktok Raw Data'!B8</f>
        <v>54686</v>
      </c>
      <c r="D8" s="17">
        <f t="shared" si="2"/>
        <v>0.02938594887</v>
      </c>
      <c r="E8" s="12">
        <f>'Tiktok Raw Data'!C8</f>
        <v>1607</v>
      </c>
      <c r="F8" s="19">
        <f t="shared" si="3"/>
        <v>0.695706285</v>
      </c>
      <c r="G8" s="19">
        <f t="shared" si="4"/>
        <v>20.44398932</v>
      </c>
      <c r="H8" s="19">
        <f>'Tiktok Raw Data'!D8</f>
        <v>1118</v>
      </c>
      <c r="I8" s="17">
        <f t="shared" si="5"/>
        <v>0.02053515868</v>
      </c>
      <c r="J8" s="20">
        <f>'Tiktok Raw Data'!E8</f>
        <v>33</v>
      </c>
      <c r="K8" s="19">
        <f t="shared" si="6"/>
        <v>206.4848485</v>
      </c>
      <c r="L8" s="19">
        <f>'Tiktok Raw Data'!F8</f>
        <v>6814</v>
      </c>
    </row>
    <row r="9">
      <c r="A9" s="11">
        <f>'Tiktok Raw Data'!A9</f>
        <v>45665</v>
      </c>
      <c r="B9" s="14">
        <f t="shared" si="1"/>
        <v>1</v>
      </c>
      <c r="C9" s="12">
        <f>'Tiktok Raw Data'!B9</f>
        <v>51903</v>
      </c>
      <c r="D9" s="17">
        <f t="shared" si="2"/>
        <v>0.009806754908</v>
      </c>
      <c r="E9" s="12">
        <f>'Tiktok Raw Data'!C9</f>
        <v>509</v>
      </c>
      <c r="F9" s="19">
        <f t="shared" si="3"/>
        <v>1.070726916</v>
      </c>
      <c r="G9" s="19">
        <f t="shared" si="4"/>
        <v>10.50035643</v>
      </c>
      <c r="H9" s="19">
        <f>'Tiktok Raw Data'!D9</f>
        <v>545</v>
      </c>
      <c r="I9" s="17">
        <f t="shared" si="5"/>
        <v>0.01964636542</v>
      </c>
      <c r="J9" s="20">
        <f>'Tiktok Raw Data'!E9</f>
        <v>10</v>
      </c>
      <c r="K9" s="19">
        <f t="shared" si="6"/>
        <v>167.1</v>
      </c>
      <c r="L9" s="19">
        <f>'Tiktok Raw Data'!F9</f>
        <v>1671</v>
      </c>
    </row>
    <row r="10">
      <c r="A10" s="11">
        <f>'Tiktok Raw Data'!A10</f>
        <v>45666</v>
      </c>
      <c r="B10" s="14">
        <f t="shared" si="1"/>
        <v>1</v>
      </c>
      <c r="C10" s="12">
        <f>'Tiktok Raw Data'!B10</f>
        <v>96174</v>
      </c>
      <c r="D10" s="17">
        <f t="shared" si="2"/>
        <v>0.02282321625</v>
      </c>
      <c r="E10" s="12">
        <f>'Tiktok Raw Data'!C10</f>
        <v>2195</v>
      </c>
      <c r="F10" s="19">
        <f t="shared" si="3"/>
        <v>0.8519362187</v>
      </c>
      <c r="G10" s="19">
        <f t="shared" si="4"/>
        <v>19.44392455</v>
      </c>
      <c r="H10" s="19">
        <f>'Tiktok Raw Data'!D10</f>
        <v>1870</v>
      </c>
      <c r="I10" s="17">
        <f t="shared" si="5"/>
        <v>0.01731207289</v>
      </c>
      <c r="J10" s="20">
        <f>'Tiktok Raw Data'!E10</f>
        <v>38</v>
      </c>
      <c r="K10" s="19">
        <f t="shared" si="6"/>
        <v>219.6315789</v>
      </c>
      <c r="L10" s="19">
        <f>'Tiktok Raw Data'!F10</f>
        <v>8346</v>
      </c>
    </row>
    <row r="11">
      <c r="A11" s="11">
        <f>'Tiktok Raw Data'!A11</f>
        <v>45667</v>
      </c>
      <c r="B11" s="14">
        <f t="shared" si="1"/>
        <v>1</v>
      </c>
      <c r="C11" s="12">
        <f>'Tiktok Raw Data'!B11</f>
        <v>85203</v>
      </c>
      <c r="D11" s="17">
        <f t="shared" si="2"/>
        <v>0.01841484455</v>
      </c>
      <c r="E11" s="12">
        <f>'Tiktok Raw Data'!C11</f>
        <v>1569</v>
      </c>
      <c r="F11" s="19">
        <f t="shared" si="3"/>
        <v>1.316762269</v>
      </c>
      <c r="G11" s="19">
        <f t="shared" si="4"/>
        <v>24.24797249</v>
      </c>
      <c r="H11" s="19">
        <f>'Tiktok Raw Data'!D11</f>
        <v>2066</v>
      </c>
      <c r="I11" s="17">
        <f t="shared" si="5"/>
        <v>0.01210962396</v>
      </c>
      <c r="J11" s="20">
        <f>'Tiktok Raw Data'!E11</f>
        <v>19</v>
      </c>
      <c r="K11" s="19">
        <f t="shared" si="6"/>
        <v>204</v>
      </c>
      <c r="L11" s="19">
        <f>'Tiktok Raw Data'!F11</f>
        <v>3876</v>
      </c>
    </row>
    <row r="12">
      <c r="A12" s="11">
        <f>'Tiktok Raw Data'!A12</f>
        <v>45668</v>
      </c>
      <c r="B12" s="14">
        <f t="shared" si="1"/>
        <v>1</v>
      </c>
      <c r="C12" s="12">
        <f>'Tiktok Raw Data'!B12</f>
        <v>81432</v>
      </c>
      <c r="D12" s="17">
        <f t="shared" si="2"/>
        <v>0.01252578839</v>
      </c>
      <c r="E12" s="12">
        <f>'Tiktok Raw Data'!C12</f>
        <v>1020</v>
      </c>
      <c r="F12" s="19">
        <f t="shared" si="3"/>
        <v>1.068627451</v>
      </c>
      <c r="G12" s="19">
        <f t="shared" si="4"/>
        <v>13.38540132</v>
      </c>
      <c r="H12" s="19">
        <f>'Tiktok Raw Data'!D12</f>
        <v>1090</v>
      </c>
      <c r="I12" s="17">
        <f t="shared" si="5"/>
        <v>0.01960784314</v>
      </c>
      <c r="J12" s="20">
        <f>'Tiktok Raw Data'!E12</f>
        <v>20</v>
      </c>
      <c r="K12" s="19">
        <f t="shared" si="6"/>
        <v>214.25</v>
      </c>
      <c r="L12" s="19">
        <f>'Tiktok Raw Data'!F12</f>
        <v>4285</v>
      </c>
    </row>
    <row r="13">
      <c r="A13" s="11">
        <f>'Tiktok Raw Data'!A13</f>
        <v>45669</v>
      </c>
      <c r="B13" s="14">
        <f t="shared" si="1"/>
        <v>1</v>
      </c>
      <c r="C13" s="12">
        <f>'Tiktok Raw Data'!B13</f>
        <v>86724</v>
      </c>
      <c r="D13" s="17">
        <f t="shared" si="2"/>
        <v>0.01854158019</v>
      </c>
      <c r="E13" s="12">
        <f>'Tiktok Raw Data'!C13</f>
        <v>1608</v>
      </c>
      <c r="F13" s="19">
        <f t="shared" si="3"/>
        <v>1.01119403</v>
      </c>
      <c r="G13" s="19">
        <f t="shared" si="4"/>
        <v>18.74913519</v>
      </c>
      <c r="H13" s="19">
        <f>'Tiktok Raw Data'!D13</f>
        <v>1626</v>
      </c>
      <c r="I13" s="17">
        <f t="shared" si="5"/>
        <v>0.01243781095</v>
      </c>
      <c r="J13" s="20">
        <f>'Tiktok Raw Data'!E13</f>
        <v>20</v>
      </c>
      <c r="K13" s="19">
        <f t="shared" si="6"/>
        <v>213.3</v>
      </c>
      <c r="L13" s="19">
        <f>'Tiktok Raw Data'!F13</f>
        <v>4266</v>
      </c>
    </row>
    <row r="14">
      <c r="A14" s="11">
        <f>'Tiktok Raw Data'!A14</f>
        <v>45670</v>
      </c>
      <c r="B14" s="14">
        <f t="shared" si="1"/>
        <v>1</v>
      </c>
      <c r="C14" s="12">
        <f>'Tiktok Raw Data'!B14</f>
        <v>97450</v>
      </c>
      <c r="D14" s="17">
        <f t="shared" si="2"/>
        <v>0.02292457671</v>
      </c>
      <c r="E14" s="12">
        <f>'Tiktok Raw Data'!C14</f>
        <v>2234</v>
      </c>
      <c r="F14" s="19">
        <f t="shared" si="3"/>
        <v>0.8545210385</v>
      </c>
      <c r="G14" s="19">
        <f t="shared" si="4"/>
        <v>19.58953309</v>
      </c>
      <c r="H14" s="19">
        <f>'Tiktok Raw Data'!D14</f>
        <v>1909</v>
      </c>
      <c r="I14" s="17">
        <f t="shared" si="5"/>
        <v>0.01432408236</v>
      </c>
      <c r="J14" s="20">
        <f>'Tiktok Raw Data'!E14</f>
        <v>32</v>
      </c>
      <c r="K14" s="19">
        <f t="shared" si="6"/>
        <v>129.9375</v>
      </c>
      <c r="L14" s="19">
        <f>'Tiktok Raw Data'!F14</f>
        <v>4158</v>
      </c>
    </row>
    <row r="15">
      <c r="A15" s="11">
        <f>'Tiktok Raw Data'!A15</f>
        <v>45671</v>
      </c>
      <c r="B15" s="14">
        <f t="shared" si="1"/>
        <v>1</v>
      </c>
      <c r="C15" s="12">
        <f>'Tiktok Raw Data'!B15</f>
        <v>87059</v>
      </c>
      <c r="D15" s="17">
        <f t="shared" si="2"/>
        <v>0.01932023111</v>
      </c>
      <c r="E15" s="12">
        <f>'Tiktok Raw Data'!C15</f>
        <v>1682</v>
      </c>
      <c r="F15" s="19">
        <f t="shared" si="3"/>
        <v>1.059453032</v>
      </c>
      <c r="G15" s="19">
        <f t="shared" si="4"/>
        <v>20.46887743</v>
      </c>
      <c r="H15" s="19">
        <f>'Tiktok Raw Data'!D15</f>
        <v>1782</v>
      </c>
      <c r="I15" s="17">
        <f t="shared" si="5"/>
        <v>0.01843043995</v>
      </c>
      <c r="J15" s="20">
        <f>'Tiktok Raw Data'!E15</f>
        <v>31</v>
      </c>
      <c r="K15" s="19">
        <f t="shared" si="6"/>
        <v>154.6451613</v>
      </c>
      <c r="L15" s="19">
        <f>'Tiktok Raw Data'!F15</f>
        <v>4794</v>
      </c>
    </row>
    <row r="16">
      <c r="A16" s="11">
        <f>'Tiktok Raw Data'!A16</f>
        <v>45672</v>
      </c>
      <c r="B16" s="14">
        <f t="shared" si="1"/>
        <v>1</v>
      </c>
      <c r="C16" s="12">
        <f>'Tiktok Raw Data'!B16</f>
        <v>82315</v>
      </c>
      <c r="D16" s="17">
        <f t="shared" si="2"/>
        <v>0.02643503614</v>
      </c>
      <c r="E16" s="12">
        <f>'Tiktok Raw Data'!C16</f>
        <v>2176</v>
      </c>
      <c r="F16" s="19">
        <f t="shared" si="3"/>
        <v>0.8791360294</v>
      </c>
      <c r="G16" s="19">
        <f t="shared" si="4"/>
        <v>23.23999271</v>
      </c>
      <c r="H16" s="19">
        <f>'Tiktok Raw Data'!D16</f>
        <v>1913</v>
      </c>
      <c r="I16" s="17">
        <f t="shared" si="5"/>
        <v>0.015625</v>
      </c>
      <c r="J16" s="20">
        <f>'Tiktok Raw Data'!E16</f>
        <v>34</v>
      </c>
      <c r="K16" s="19">
        <f t="shared" si="6"/>
        <v>90.67647059</v>
      </c>
      <c r="L16" s="19">
        <f>'Tiktok Raw Data'!F16</f>
        <v>3083</v>
      </c>
    </row>
    <row r="17">
      <c r="A17" s="11">
        <f>'Tiktok Raw Data'!A17</f>
        <v>45673</v>
      </c>
      <c r="B17" s="14">
        <f t="shared" si="1"/>
        <v>1</v>
      </c>
      <c r="C17" s="12">
        <f>'Tiktok Raw Data'!B17</f>
        <v>30991</v>
      </c>
      <c r="D17" s="17">
        <f t="shared" si="2"/>
        <v>0.02342615598</v>
      </c>
      <c r="E17" s="12">
        <f>'Tiktok Raw Data'!C17</f>
        <v>726</v>
      </c>
      <c r="F17" s="19">
        <f t="shared" si="3"/>
        <v>1.355371901</v>
      </c>
      <c r="G17" s="19">
        <f t="shared" si="4"/>
        <v>31.75115356</v>
      </c>
      <c r="H17" s="19">
        <f>'Tiktok Raw Data'!D17</f>
        <v>984</v>
      </c>
      <c r="I17" s="17">
        <f t="shared" si="5"/>
        <v>0.01790633609</v>
      </c>
      <c r="J17" s="20">
        <f>'Tiktok Raw Data'!E17</f>
        <v>13</v>
      </c>
      <c r="K17" s="19">
        <f t="shared" si="6"/>
        <v>151.5384615</v>
      </c>
      <c r="L17" s="19">
        <f>'Tiktok Raw Data'!F17</f>
        <v>1970</v>
      </c>
    </row>
    <row r="18">
      <c r="A18" s="11">
        <f>'Tiktok Raw Data'!A18</f>
        <v>45674</v>
      </c>
      <c r="B18" s="14">
        <f t="shared" si="1"/>
        <v>1</v>
      </c>
      <c r="C18" s="12">
        <f>'Tiktok Raw Data'!B18</f>
        <v>112741</v>
      </c>
      <c r="D18" s="17">
        <f t="shared" si="2"/>
        <v>0.02570493432</v>
      </c>
      <c r="E18" s="12">
        <f>'Tiktok Raw Data'!C18</f>
        <v>2898</v>
      </c>
      <c r="F18" s="19">
        <f t="shared" si="3"/>
        <v>1.023464458</v>
      </c>
      <c r="G18" s="19">
        <f t="shared" si="4"/>
        <v>26.30808668</v>
      </c>
      <c r="H18" s="19">
        <f>'Tiktok Raw Data'!D18</f>
        <v>2966</v>
      </c>
      <c r="I18" s="17">
        <f t="shared" si="5"/>
        <v>0.02415458937</v>
      </c>
      <c r="J18" s="20">
        <f>'Tiktok Raw Data'!E18</f>
        <v>70</v>
      </c>
      <c r="K18" s="19">
        <f t="shared" si="6"/>
        <v>146.9571429</v>
      </c>
      <c r="L18" s="19">
        <f>'Tiktok Raw Data'!F18</f>
        <v>10287</v>
      </c>
    </row>
    <row r="19">
      <c r="A19" s="11">
        <f>'Tiktok Raw Data'!A19</f>
        <v>45675</v>
      </c>
      <c r="B19" s="14">
        <f t="shared" si="1"/>
        <v>1</v>
      </c>
      <c r="C19" s="12">
        <f>'Tiktok Raw Data'!B19</f>
        <v>65598</v>
      </c>
      <c r="D19" s="17">
        <f t="shared" si="2"/>
        <v>0.03262294582</v>
      </c>
      <c r="E19" s="12">
        <f>'Tiktok Raw Data'!C19</f>
        <v>2140</v>
      </c>
      <c r="F19" s="19">
        <f t="shared" si="3"/>
        <v>0.6724299065</v>
      </c>
      <c r="G19" s="19">
        <f t="shared" si="4"/>
        <v>21.93664441</v>
      </c>
      <c r="H19" s="19">
        <f>'Tiktok Raw Data'!D19</f>
        <v>1439</v>
      </c>
      <c r="I19" s="17">
        <f t="shared" si="5"/>
        <v>0.01308411215</v>
      </c>
      <c r="J19" s="20">
        <f>'Tiktok Raw Data'!E19</f>
        <v>28</v>
      </c>
      <c r="K19" s="19">
        <f t="shared" si="6"/>
        <v>134.9642857</v>
      </c>
      <c r="L19" s="19">
        <f>'Tiktok Raw Data'!F19</f>
        <v>3779</v>
      </c>
    </row>
    <row r="20">
      <c r="A20" s="11">
        <f>'Tiktok Raw Data'!A20</f>
        <v>45676</v>
      </c>
      <c r="B20" s="14">
        <f t="shared" si="1"/>
        <v>1</v>
      </c>
      <c r="C20" s="12">
        <f>'Tiktok Raw Data'!B20</f>
        <v>74983</v>
      </c>
      <c r="D20" s="17">
        <f t="shared" si="2"/>
        <v>0.01348305616</v>
      </c>
      <c r="E20" s="12">
        <f>'Tiktok Raw Data'!C20</f>
        <v>1011</v>
      </c>
      <c r="F20" s="19">
        <f t="shared" si="3"/>
        <v>1.017804154</v>
      </c>
      <c r="G20" s="19">
        <f t="shared" si="4"/>
        <v>13.72311057</v>
      </c>
      <c r="H20" s="19">
        <f>'Tiktok Raw Data'!D20</f>
        <v>1029</v>
      </c>
      <c r="I20" s="17">
        <f t="shared" si="5"/>
        <v>0.02274975272</v>
      </c>
      <c r="J20" s="20">
        <f>'Tiktok Raw Data'!E20</f>
        <v>23</v>
      </c>
      <c r="K20" s="19">
        <f t="shared" si="6"/>
        <v>129.2173913</v>
      </c>
      <c r="L20" s="19">
        <f>'Tiktok Raw Data'!F20</f>
        <v>2972</v>
      </c>
    </row>
    <row r="21">
      <c r="A21" s="11">
        <f>'Tiktok Raw Data'!A21</f>
        <v>45677</v>
      </c>
      <c r="B21" s="14">
        <f t="shared" si="1"/>
        <v>1</v>
      </c>
      <c r="C21" s="12">
        <f>'Tiktok Raw Data'!B21</f>
        <v>89780</v>
      </c>
      <c r="D21" s="17">
        <f t="shared" si="2"/>
        <v>0.01566050345</v>
      </c>
      <c r="E21" s="12">
        <f>'Tiktok Raw Data'!C21</f>
        <v>1406</v>
      </c>
      <c r="F21" s="19">
        <f t="shared" si="3"/>
        <v>0.7098150782</v>
      </c>
      <c r="G21" s="19">
        <f t="shared" si="4"/>
        <v>11.11606148</v>
      </c>
      <c r="H21" s="19">
        <f>'Tiktok Raw Data'!D21</f>
        <v>998</v>
      </c>
      <c r="I21" s="17">
        <f t="shared" si="5"/>
        <v>0.01280227596</v>
      </c>
      <c r="J21" s="20">
        <f>'Tiktok Raw Data'!E21</f>
        <v>18</v>
      </c>
      <c r="K21" s="19">
        <f t="shared" si="6"/>
        <v>241.2777778</v>
      </c>
      <c r="L21" s="19">
        <f>'Tiktok Raw Data'!F21</f>
        <v>4343</v>
      </c>
    </row>
    <row r="22">
      <c r="A22" s="11">
        <f>'Tiktok Raw Data'!A22</f>
        <v>45678</v>
      </c>
      <c r="B22" s="14">
        <f t="shared" si="1"/>
        <v>1</v>
      </c>
      <c r="C22" s="12">
        <f>'Tiktok Raw Data'!B22</f>
        <v>79638</v>
      </c>
      <c r="D22" s="17">
        <f t="shared" si="2"/>
        <v>0.02296642306</v>
      </c>
      <c r="E22" s="12">
        <f>'Tiktok Raw Data'!C22</f>
        <v>1829</v>
      </c>
      <c r="F22" s="19">
        <f t="shared" si="3"/>
        <v>0.9978130126</v>
      </c>
      <c r="G22" s="19">
        <f t="shared" si="4"/>
        <v>22.91619579</v>
      </c>
      <c r="H22" s="19">
        <f>'Tiktok Raw Data'!D22</f>
        <v>1825</v>
      </c>
      <c r="I22" s="17">
        <f t="shared" si="5"/>
        <v>0.01640240569</v>
      </c>
      <c r="J22" s="20">
        <f>'Tiktok Raw Data'!E22</f>
        <v>30</v>
      </c>
      <c r="K22" s="19">
        <f t="shared" si="6"/>
        <v>165.2666667</v>
      </c>
      <c r="L22" s="19">
        <f>'Tiktok Raw Data'!F22</f>
        <v>4958</v>
      </c>
    </row>
    <row r="23">
      <c r="A23" s="11">
        <f>'Tiktok Raw Data'!A23</f>
        <v>45679</v>
      </c>
      <c r="B23" s="14">
        <f t="shared" si="1"/>
        <v>1</v>
      </c>
      <c r="C23" s="12">
        <f>'Tiktok Raw Data'!B23</f>
        <v>56982</v>
      </c>
      <c r="D23" s="17">
        <f t="shared" si="2"/>
        <v>0.01045944333</v>
      </c>
      <c r="E23" s="12">
        <f>'Tiktok Raw Data'!C23</f>
        <v>596</v>
      </c>
      <c r="F23" s="19">
        <f t="shared" si="3"/>
        <v>1.011744966</v>
      </c>
      <c r="G23" s="19">
        <f t="shared" si="4"/>
        <v>10.58228914</v>
      </c>
      <c r="H23" s="19">
        <f>'Tiktok Raw Data'!D23</f>
        <v>603</v>
      </c>
      <c r="I23" s="17">
        <f t="shared" si="5"/>
        <v>0.01845637584</v>
      </c>
      <c r="J23" s="20">
        <f>'Tiktok Raw Data'!E23</f>
        <v>11</v>
      </c>
      <c r="K23" s="19">
        <f t="shared" si="6"/>
        <v>141.6363636</v>
      </c>
      <c r="L23" s="19">
        <f>'Tiktok Raw Data'!F23</f>
        <v>1558</v>
      </c>
    </row>
    <row r="24">
      <c r="A24" s="11">
        <f>'Tiktok Raw Data'!A24</f>
        <v>45680</v>
      </c>
      <c r="B24" s="14">
        <f t="shared" si="1"/>
        <v>1</v>
      </c>
      <c r="C24" s="12">
        <f>'Tiktok Raw Data'!B24</f>
        <v>25416</v>
      </c>
      <c r="D24" s="17">
        <f t="shared" si="2"/>
        <v>0.007711677683</v>
      </c>
      <c r="E24" s="12">
        <f>'Tiktok Raw Data'!C24</f>
        <v>196</v>
      </c>
      <c r="F24" s="19">
        <f t="shared" si="3"/>
        <v>0.6581632653</v>
      </c>
      <c r="G24" s="19">
        <f t="shared" si="4"/>
        <v>5.075542965</v>
      </c>
      <c r="H24" s="19">
        <f>'Tiktok Raw Data'!D24</f>
        <v>129</v>
      </c>
      <c r="I24" s="17">
        <f t="shared" si="5"/>
        <v>0.01530612245</v>
      </c>
      <c r="J24" s="20">
        <f>'Tiktok Raw Data'!E24</f>
        <v>3</v>
      </c>
      <c r="K24" s="19">
        <f t="shared" si="6"/>
        <v>231</v>
      </c>
      <c r="L24" s="19">
        <f>'Tiktok Raw Data'!F24</f>
        <v>693</v>
      </c>
    </row>
    <row r="25">
      <c r="A25" s="11">
        <f>'Tiktok Raw Data'!A25</f>
        <v>45681</v>
      </c>
      <c r="B25" s="14">
        <f t="shared" si="1"/>
        <v>1</v>
      </c>
      <c r="C25" s="12">
        <f>'Tiktok Raw Data'!B25</f>
        <v>83714</v>
      </c>
      <c r="D25" s="17">
        <f t="shared" si="2"/>
        <v>0.01538571804</v>
      </c>
      <c r="E25" s="12">
        <f>'Tiktok Raw Data'!C25</f>
        <v>1288</v>
      </c>
      <c r="F25" s="19">
        <f t="shared" si="3"/>
        <v>1.163819876</v>
      </c>
      <c r="G25" s="19">
        <f t="shared" si="4"/>
        <v>17.90620446</v>
      </c>
      <c r="H25" s="19">
        <f>'Tiktok Raw Data'!D25</f>
        <v>1499</v>
      </c>
      <c r="I25" s="17">
        <f t="shared" si="5"/>
        <v>0.02251552795</v>
      </c>
      <c r="J25" s="20">
        <f>'Tiktok Raw Data'!E25</f>
        <v>29</v>
      </c>
      <c r="K25" s="19">
        <f t="shared" si="6"/>
        <v>188.4827586</v>
      </c>
      <c r="L25" s="19">
        <f>'Tiktok Raw Data'!F25</f>
        <v>5466</v>
      </c>
    </row>
    <row r="26">
      <c r="A26" s="11">
        <f>'Tiktok Raw Data'!A26</f>
        <v>45682</v>
      </c>
      <c r="B26" s="14">
        <f t="shared" si="1"/>
        <v>1</v>
      </c>
      <c r="C26" s="12">
        <f>'Tiktok Raw Data'!B26</f>
        <v>61918</v>
      </c>
      <c r="D26" s="17">
        <f t="shared" si="2"/>
        <v>0.02443554378</v>
      </c>
      <c r="E26" s="12">
        <f>'Tiktok Raw Data'!C26</f>
        <v>1513</v>
      </c>
      <c r="F26" s="19">
        <f t="shared" si="3"/>
        <v>1.407138136</v>
      </c>
      <c r="G26" s="19">
        <f t="shared" si="4"/>
        <v>34.38418554</v>
      </c>
      <c r="H26" s="19">
        <f>'Tiktok Raw Data'!D26</f>
        <v>2129</v>
      </c>
      <c r="I26" s="17">
        <f t="shared" si="5"/>
        <v>0.02313284865</v>
      </c>
      <c r="J26" s="20">
        <f>'Tiktok Raw Data'!E26</f>
        <v>35</v>
      </c>
      <c r="K26" s="19">
        <f t="shared" si="6"/>
        <v>183.9142857</v>
      </c>
      <c r="L26" s="19">
        <f>'Tiktok Raw Data'!F26</f>
        <v>6437</v>
      </c>
    </row>
    <row r="27">
      <c r="A27" s="11">
        <f>'Tiktok Raw Data'!A27</f>
        <v>45683</v>
      </c>
      <c r="B27" s="14">
        <f t="shared" si="1"/>
        <v>1</v>
      </c>
      <c r="C27" s="12">
        <f>'Tiktok Raw Data'!B27</f>
        <v>39505</v>
      </c>
      <c r="D27" s="17">
        <f t="shared" si="2"/>
        <v>0.01009998734</v>
      </c>
      <c r="E27" s="12">
        <f>'Tiktok Raw Data'!C27</f>
        <v>399</v>
      </c>
      <c r="F27" s="19">
        <f t="shared" si="3"/>
        <v>1.137844612</v>
      </c>
      <c r="G27" s="19">
        <f t="shared" si="4"/>
        <v>11.49221618</v>
      </c>
      <c r="H27" s="19">
        <f>'Tiktok Raw Data'!D27</f>
        <v>454</v>
      </c>
      <c r="I27" s="17">
        <f t="shared" si="5"/>
        <v>0.01754385965</v>
      </c>
      <c r="J27" s="20">
        <f>'Tiktok Raw Data'!E27</f>
        <v>7</v>
      </c>
      <c r="K27" s="19">
        <f t="shared" si="6"/>
        <v>159.1428571</v>
      </c>
      <c r="L27" s="19">
        <f>'Tiktok Raw Data'!F27</f>
        <v>1114</v>
      </c>
    </row>
    <row r="28">
      <c r="A28" s="11">
        <f>'Tiktok Raw Data'!A28</f>
        <v>45684</v>
      </c>
      <c r="B28" s="14">
        <f t="shared" si="1"/>
        <v>1</v>
      </c>
      <c r="C28" s="12">
        <f>'Tiktok Raw Data'!B28</f>
        <v>35645</v>
      </c>
      <c r="D28" s="17">
        <f t="shared" si="2"/>
        <v>0.01242811053</v>
      </c>
      <c r="E28" s="12">
        <f>'Tiktok Raw Data'!C28</f>
        <v>443</v>
      </c>
      <c r="F28" s="19">
        <f t="shared" si="3"/>
        <v>1.338600451</v>
      </c>
      <c r="G28" s="19">
        <f t="shared" si="4"/>
        <v>16.63627437</v>
      </c>
      <c r="H28" s="19">
        <f>'Tiktok Raw Data'!D28</f>
        <v>593</v>
      </c>
      <c r="I28" s="17">
        <f t="shared" si="5"/>
        <v>0.01805869074</v>
      </c>
      <c r="J28" s="20">
        <f>'Tiktok Raw Data'!E28</f>
        <v>8</v>
      </c>
      <c r="K28" s="19">
        <f t="shared" si="6"/>
        <v>218.75</v>
      </c>
      <c r="L28" s="19">
        <f>'Tiktok Raw Data'!F28</f>
        <v>1750</v>
      </c>
    </row>
    <row r="29">
      <c r="A29" s="11">
        <f>'Tiktok Raw Data'!A29</f>
        <v>45685</v>
      </c>
      <c r="B29" s="14">
        <f t="shared" si="1"/>
        <v>1</v>
      </c>
      <c r="C29" s="12">
        <f>'Tiktok Raw Data'!B29</f>
        <v>77867</v>
      </c>
      <c r="D29" s="17">
        <f t="shared" si="2"/>
        <v>0.01259840497</v>
      </c>
      <c r="E29" s="12">
        <f>'Tiktok Raw Data'!C29</f>
        <v>981</v>
      </c>
      <c r="F29" s="19">
        <f t="shared" si="3"/>
        <v>1.075433231</v>
      </c>
      <c r="G29" s="19">
        <f t="shared" si="4"/>
        <v>13.54874337</v>
      </c>
      <c r="H29" s="19">
        <f>'Tiktok Raw Data'!D29</f>
        <v>1055</v>
      </c>
      <c r="I29" s="17">
        <f t="shared" si="5"/>
        <v>0.02344546381</v>
      </c>
      <c r="J29" s="20">
        <f>'Tiktok Raw Data'!E29</f>
        <v>23</v>
      </c>
      <c r="K29" s="19">
        <f t="shared" si="6"/>
        <v>185</v>
      </c>
      <c r="L29" s="19">
        <f>'Tiktok Raw Data'!F29</f>
        <v>4255</v>
      </c>
    </row>
    <row r="30">
      <c r="A30" s="11">
        <f>'Tiktok Raw Data'!A30</f>
        <v>45686</v>
      </c>
      <c r="B30" s="14">
        <f t="shared" si="1"/>
        <v>1</v>
      </c>
      <c r="C30" s="12">
        <f>'Tiktok Raw Data'!B30</f>
        <v>40913</v>
      </c>
      <c r="D30" s="17">
        <f t="shared" si="2"/>
        <v>0.02270671914</v>
      </c>
      <c r="E30" s="12">
        <f>'Tiktok Raw Data'!C30</f>
        <v>929</v>
      </c>
      <c r="F30" s="19">
        <f t="shared" si="3"/>
        <v>0.7201291712</v>
      </c>
      <c r="G30" s="19">
        <f t="shared" si="4"/>
        <v>16.35177083</v>
      </c>
      <c r="H30" s="19">
        <f>'Tiktok Raw Data'!D30</f>
        <v>669</v>
      </c>
      <c r="I30" s="17">
        <f t="shared" si="5"/>
        <v>0.0182992465</v>
      </c>
      <c r="J30" s="20">
        <f>'Tiktok Raw Data'!E30</f>
        <v>17</v>
      </c>
      <c r="K30" s="19">
        <f t="shared" si="6"/>
        <v>199.9411765</v>
      </c>
      <c r="L30" s="19">
        <f>'Tiktok Raw Data'!F30</f>
        <v>3399</v>
      </c>
    </row>
    <row r="31">
      <c r="A31" s="11">
        <f>'Tiktok Raw Data'!A31</f>
        <v>45687</v>
      </c>
      <c r="B31" s="14">
        <f t="shared" si="1"/>
        <v>1</v>
      </c>
      <c r="C31" s="12">
        <f>'Tiktok Raw Data'!B31</f>
        <v>64428</v>
      </c>
      <c r="D31" s="17">
        <f t="shared" si="2"/>
        <v>0.03143043397</v>
      </c>
      <c r="E31" s="12">
        <f>'Tiktok Raw Data'!C31</f>
        <v>2025</v>
      </c>
      <c r="F31" s="19">
        <f t="shared" si="3"/>
        <v>0.972345679</v>
      </c>
      <c r="G31" s="19">
        <f t="shared" si="4"/>
        <v>30.56124666</v>
      </c>
      <c r="H31" s="19">
        <f>'Tiktok Raw Data'!D31</f>
        <v>1969</v>
      </c>
      <c r="I31" s="17">
        <f t="shared" si="5"/>
        <v>0.01481481481</v>
      </c>
      <c r="J31" s="20">
        <f>'Tiktok Raw Data'!E31</f>
        <v>30</v>
      </c>
      <c r="K31" s="19">
        <f t="shared" si="6"/>
        <v>148.0666667</v>
      </c>
      <c r="L31" s="19">
        <f>'Tiktok Raw Data'!F31</f>
        <v>4442</v>
      </c>
    </row>
    <row r="32">
      <c r="A32" s="11">
        <f>'Tiktok Raw Data'!A32</f>
        <v>45688</v>
      </c>
      <c r="B32" s="14">
        <f t="shared" si="1"/>
        <v>1</v>
      </c>
      <c r="C32" s="12">
        <f>'Tiktok Raw Data'!B32</f>
        <v>93925</v>
      </c>
      <c r="D32" s="17">
        <f t="shared" si="2"/>
        <v>0.02056960341</v>
      </c>
      <c r="E32" s="12">
        <f>'Tiktok Raw Data'!C32</f>
        <v>1932</v>
      </c>
      <c r="F32" s="19">
        <f t="shared" si="3"/>
        <v>1.120600414</v>
      </c>
      <c r="G32" s="19">
        <f t="shared" si="4"/>
        <v>23.0503061</v>
      </c>
      <c r="H32" s="19">
        <f>'Tiktok Raw Data'!D32</f>
        <v>2165</v>
      </c>
      <c r="I32" s="17">
        <f t="shared" si="5"/>
        <v>0.01863354037</v>
      </c>
      <c r="J32" s="20">
        <f>'Tiktok Raw Data'!E32</f>
        <v>36</v>
      </c>
      <c r="K32" s="19">
        <f t="shared" si="6"/>
        <v>168.3055556</v>
      </c>
      <c r="L32" s="19">
        <f>'Tiktok Raw Data'!F32</f>
        <v>6059</v>
      </c>
    </row>
    <row r="33">
      <c r="A33" s="11">
        <f>'Tiktok Raw Data'!A33</f>
        <v>45689</v>
      </c>
      <c r="B33" s="14">
        <f t="shared" si="1"/>
        <v>2</v>
      </c>
      <c r="C33" s="12">
        <f>'Tiktok Raw Data'!B33</f>
        <v>115794</v>
      </c>
      <c r="D33" s="17">
        <f t="shared" si="2"/>
        <v>0.02811026478</v>
      </c>
      <c r="E33" s="12">
        <f>'Tiktok Raw Data'!C33</f>
        <v>3255</v>
      </c>
      <c r="F33" s="19">
        <f t="shared" si="3"/>
        <v>0.7938556068</v>
      </c>
      <c r="G33" s="19">
        <f t="shared" si="4"/>
        <v>22.3154913</v>
      </c>
      <c r="H33" s="19">
        <f>'Tiktok Raw Data'!D33</f>
        <v>2584</v>
      </c>
      <c r="I33" s="17">
        <f t="shared" si="5"/>
        <v>0.01874039939</v>
      </c>
      <c r="J33" s="20">
        <f>'Tiktok Raw Data'!E33</f>
        <v>61</v>
      </c>
      <c r="K33" s="19">
        <f t="shared" si="6"/>
        <v>153.4262295</v>
      </c>
      <c r="L33" s="19">
        <f>'Tiktok Raw Data'!F33</f>
        <v>9359</v>
      </c>
    </row>
    <row r="34">
      <c r="A34" s="11">
        <f>'Tiktok Raw Data'!A34</f>
        <v>45690</v>
      </c>
      <c r="B34" s="14">
        <f t="shared" si="1"/>
        <v>2</v>
      </c>
      <c r="C34" s="12">
        <f>'Tiktok Raw Data'!B34</f>
        <v>39694</v>
      </c>
      <c r="D34" s="17">
        <f t="shared" si="2"/>
        <v>0.01294906031</v>
      </c>
      <c r="E34" s="12">
        <f>'Tiktok Raw Data'!C34</f>
        <v>514</v>
      </c>
      <c r="F34" s="19">
        <f t="shared" si="3"/>
        <v>1.287937743</v>
      </c>
      <c r="G34" s="19">
        <f t="shared" si="4"/>
        <v>16.67758351</v>
      </c>
      <c r="H34" s="19">
        <f>'Tiktok Raw Data'!D34</f>
        <v>662</v>
      </c>
      <c r="I34" s="17">
        <f t="shared" si="5"/>
        <v>0.01750972763</v>
      </c>
      <c r="J34" s="20">
        <f>'Tiktok Raw Data'!E34</f>
        <v>9</v>
      </c>
      <c r="K34" s="19">
        <f t="shared" si="6"/>
        <v>231.8888889</v>
      </c>
      <c r="L34" s="19">
        <f>'Tiktok Raw Data'!F34</f>
        <v>2087</v>
      </c>
    </row>
    <row r="35">
      <c r="A35" s="11">
        <f>'Tiktok Raw Data'!A35</f>
        <v>45691</v>
      </c>
      <c r="B35" s="14">
        <f t="shared" si="1"/>
        <v>2</v>
      </c>
      <c r="C35" s="12">
        <f>'Tiktok Raw Data'!B35</f>
        <v>37397</v>
      </c>
      <c r="D35" s="17">
        <f t="shared" si="2"/>
        <v>0.02157927106</v>
      </c>
      <c r="E35" s="12">
        <f>'Tiktok Raw Data'!C35</f>
        <v>807</v>
      </c>
      <c r="F35" s="19">
        <f t="shared" si="3"/>
        <v>0.7794299876</v>
      </c>
      <c r="G35" s="19">
        <f t="shared" si="4"/>
        <v>16.81953098</v>
      </c>
      <c r="H35" s="19">
        <f>'Tiktok Raw Data'!D35</f>
        <v>629</v>
      </c>
      <c r="I35" s="17">
        <f t="shared" si="5"/>
        <v>0.02106567534</v>
      </c>
      <c r="J35" s="20">
        <f>'Tiktok Raw Data'!E35</f>
        <v>17</v>
      </c>
      <c r="K35" s="19">
        <f t="shared" si="6"/>
        <v>163.5294118</v>
      </c>
      <c r="L35" s="19">
        <f>'Tiktok Raw Data'!F35</f>
        <v>2780</v>
      </c>
    </row>
    <row r="36">
      <c r="A36" s="11">
        <f>'Tiktok Raw Data'!A36</f>
        <v>45692</v>
      </c>
      <c r="B36" s="14">
        <f t="shared" si="1"/>
        <v>2</v>
      </c>
      <c r="C36" s="12">
        <f>'Tiktok Raw Data'!B36</f>
        <v>23589</v>
      </c>
      <c r="D36" s="17">
        <f t="shared" si="2"/>
        <v>0.02034846751</v>
      </c>
      <c r="E36" s="12">
        <f>'Tiktok Raw Data'!C36</f>
        <v>480</v>
      </c>
      <c r="F36" s="19">
        <f t="shared" si="3"/>
        <v>0.8354166667</v>
      </c>
      <c r="G36" s="19">
        <f t="shared" si="4"/>
        <v>16.9994489</v>
      </c>
      <c r="H36" s="19">
        <f>'Tiktok Raw Data'!D36</f>
        <v>401</v>
      </c>
      <c r="I36" s="17">
        <f t="shared" si="5"/>
        <v>0.01666666667</v>
      </c>
      <c r="J36" s="20">
        <f>'Tiktok Raw Data'!E36</f>
        <v>8</v>
      </c>
      <c r="K36" s="19">
        <f t="shared" si="6"/>
        <v>142.25</v>
      </c>
      <c r="L36" s="19">
        <f>'Tiktok Raw Data'!F36</f>
        <v>1138</v>
      </c>
    </row>
    <row r="37">
      <c r="A37" s="11">
        <f>'Tiktok Raw Data'!A37</f>
        <v>45693</v>
      </c>
      <c r="B37" s="14">
        <f t="shared" si="1"/>
        <v>2</v>
      </c>
      <c r="C37" s="12">
        <f>'Tiktok Raw Data'!B37</f>
        <v>92100</v>
      </c>
      <c r="D37" s="17">
        <f t="shared" si="2"/>
        <v>0.02673181325</v>
      </c>
      <c r="E37" s="12">
        <f>'Tiktok Raw Data'!C37</f>
        <v>2462</v>
      </c>
      <c r="F37" s="19">
        <f t="shared" si="3"/>
        <v>1.181559708</v>
      </c>
      <c r="G37" s="19">
        <f t="shared" si="4"/>
        <v>31.58523344</v>
      </c>
      <c r="H37" s="19">
        <f>'Tiktok Raw Data'!D37</f>
        <v>2909</v>
      </c>
      <c r="I37" s="17">
        <f t="shared" si="5"/>
        <v>0.01746547522</v>
      </c>
      <c r="J37" s="20">
        <f>'Tiktok Raw Data'!E37</f>
        <v>43</v>
      </c>
      <c r="K37" s="19">
        <f t="shared" si="6"/>
        <v>194.3255814</v>
      </c>
      <c r="L37" s="19">
        <f>'Tiktok Raw Data'!F37</f>
        <v>8356</v>
      </c>
    </row>
    <row r="38">
      <c r="A38" s="11">
        <f>'Tiktok Raw Data'!A38</f>
        <v>45694</v>
      </c>
      <c r="B38" s="14">
        <f t="shared" si="1"/>
        <v>2</v>
      </c>
      <c r="C38" s="12">
        <f>'Tiktok Raw Data'!B38</f>
        <v>93317</v>
      </c>
      <c r="D38" s="17">
        <f t="shared" si="2"/>
        <v>0.01400602248</v>
      </c>
      <c r="E38" s="12">
        <f>'Tiktok Raw Data'!C38</f>
        <v>1307</v>
      </c>
      <c r="F38" s="19">
        <f t="shared" si="3"/>
        <v>0.7895944912</v>
      </c>
      <c r="G38" s="19">
        <f t="shared" si="4"/>
        <v>11.0590782</v>
      </c>
      <c r="H38" s="19">
        <f>'Tiktok Raw Data'!D38</f>
        <v>1032</v>
      </c>
      <c r="I38" s="17">
        <f t="shared" si="5"/>
        <v>0.01759755164</v>
      </c>
      <c r="J38" s="20">
        <f>'Tiktok Raw Data'!E38</f>
        <v>23</v>
      </c>
      <c r="K38" s="19">
        <f t="shared" si="6"/>
        <v>134.6956522</v>
      </c>
      <c r="L38" s="19">
        <f>'Tiktok Raw Data'!F38</f>
        <v>3098</v>
      </c>
    </row>
    <row r="39">
      <c r="A39" s="11">
        <f>'Tiktok Raw Data'!A39</f>
        <v>45695</v>
      </c>
      <c r="B39" s="14">
        <f t="shared" si="1"/>
        <v>2</v>
      </c>
      <c r="C39" s="12">
        <f>'Tiktok Raw Data'!B39</f>
        <v>105397</v>
      </c>
      <c r="D39" s="17">
        <f t="shared" si="2"/>
        <v>0.02812224257</v>
      </c>
      <c r="E39" s="12">
        <f>'Tiktok Raw Data'!C39</f>
        <v>2964</v>
      </c>
      <c r="F39" s="19">
        <f t="shared" si="3"/>
        <v>0.9325236167</v>
      </c>
      <c r="G39" s="19">
        <f t="shared" si="4"/>
        <v>26.22465535</v>
      </c>
      <c r="H39" s="19">
        <f>'Tiktok Raw Data'!D39</f>
        <v>2764</v>
      </c>
      <c r="I39" s="17">
        <f t="shared" si="5"/>
        <v>0.01686909582</v>
      </c>
      <c r="J39" s="20">
        <f>'Tiktok Raw Data'!E39</f>
        <v>50</v>
      </c>
      <c r="K39" s="19">
        <f t="shared" si="6"/>
        <v>154.14</v>
      </c>
      <c r="L39" s="19">
        <f>'Tiktok Raw Data'!F39</f>
        <v>7707</v>
      </c>
    </row>
    <row r="40">
      <c r="A40" s="11">
        <f>'Tiktok Raw Data'!A40</f>
        <v>45696</v>
      </c>
      <c r="B40" s="14">
        <f t="shared" si="1"/>
        <v>2</v>
      </c>
      <c r="C40" s="12">
        <f>'Tiktok Raw Data'!B40</f>
        <v>83825</v>
      </c>
      <c r="D40" s="17">
        <f t="shared" si="2"/>
        <v>0.01396957948</v>
      </c>
      <c r="E40" s="12">
        <f>'Tiktok Raw Data'!C40</f>
        <v>1171</v>
      </c>
      <c r="F40" s="19">
        <f t="shared" si="3"/>
        <v>0.7011101623</v>
      </c>
      <c r="G40" s="19">
        <f t="shared" si="4"/>
        <v>9.794214137</v>
      </c>
      <c r="H40" s="19">
        <f>'Tiktok Raw Data'!D40</f>
        <v>821</v>
      </c>
      <c r="I40" s="17">
        <f t="shared" si="5"/>
        <v>0.01793339026</v>
      </c>
      <c r="J40" s="20">
        <f>'Tiktok Raw Data'!E40</f>
        <v>21</v>
      </c>
      <c r="K40" s="19">
        <f t="shared" si="6"/>
        <v>187.5238095</v>
      </c>
      <c r="L40" s="19">
        <f>'Tiktok Raw Data'!F40</f>
        <v>3938</v>
      </c>
    </row>
    <row r="41">
      <c r="A41" s="11">
        <f>'Tiktok Raw Data'!A41</f>
        <v>45697</v>
      </c>
      <c r="B41" s="14">
        <f t="shared" si="1"/>
        <v>2</v>
      </c>
      <c r="C41" s="12">
        <f>'Tiktok Raw Data'!B41</f>
        <v>75195</v>
      </c>
      <c r="D41" s="17">
        <f t="shared" si="2"/>
        <v>0.024802181</v>
      </c>
      <c r="E41" s="12">
        <f>'Tiktok Raw Data'!C41</f>
        <v>1865</v>
      </c>
      <c r="F41" s="19">
        <f t="shared" si="3"/>
        <v>1.191957105</v>
      </c>
      <c r="G41" s="19">
        <f t="shared" si="4"/>
        <v>29.56313585</v>
      </c>
      <c r="H41" s="19">
        <f>'Tiktok Raw Data'!D41</f>
        <v>2223</v>
      </c>
      <c r="I41" s="17">
        <f t="shared" si="5"/>
        <v>0.0144772118</v>
      </c>
      <c r="J41" s="20">
        <f>'Tiktok Raw Data'!E41</f>
        <v>27</v>
      </c>
      <c r="K41" s="19">
        <f t="shared" si="6"/>
        <v>113.8148148</v>
      </c>
      <c r="L41" s="19">
        <f>'Tiktok Raw Data'!F41</f>
        <v>3073</v>
      </c>
    </row>
    <row r="42">
      <c r="A42" s="11">
        <f>'Tiktok Raw Data'!A42</f>
        <v>45698</v>
      </c>
      <c r="B42" s="14">
        <f t="shared" si="1"/>
        <v>2</v>
      </c>
      <c r="C42" s="12">
        <f>'Tiktok Raw Data'!B42</f>
        <v>50744</v>
      </c>
      <c r="D42" s="17">
        <f t="shared" si="2"/>
        <v>0.02494876242</v>
      </c>
      <c r="E42" s="12">
        <f>'Tiktok Raw Data'!C42</f>
        <v>1266</v>
      </c>
      <c r="F42" s="19">
        <f t="shared" si="3"/>
        <v>0.8333333333</v>
      </c>
      <c r="G42" s="19">
        <f t="shared" si="4"/>
        <v>20.79063535</v>
      </c>
      <c r="H42" s="19">
        <f>'Tiktok Raw Data'!D42</f>
        <v>1055</v>
      </c>
      <c r="I42" s="17">
        <f t="shared" si="5"/>
        <v>0.0252764613</v>
      </c>
      <c r="J42" s="20">
        <f>'Tiktok Raw Data'!E42</f>
        <v>32</v>
      </c>
      <c r="K42" s="19">
        <f t="shared" si="6"/>
        <v>232.125</v>
      </c>
      <c r="L42" s="19">
        <f>'Tiktok Raw Data'!F42</f>
        <v>7428</v>
      </c>
    </row>
    <row r="43">
      <c r="A43" s="11">
        <f>'Tiktok Raw Data'!A43</f>
        <v>45699</v>
      </c>
      <c r="B43" s="14">
        <f t="shared" si="1"/>
        <v>2</v>
      </c>
      <c r="C43" s="12">
        <f>'Tiktok Raw Data'!B43</f>
        <v>86190</v>
      </c>
      <c r="D43" s="17">
        <f t="shared" si="2"/>
        <v>0.02779904861</v>
      </c>
      <c r="E43" s="12">
        <f>'Tiktok Raw Data'!C43</f>
        <v>2396</v>
      </c>
      <c r="F43" s="19">
        <f t="shared" si="3"/>
        <v>0.6694490818</v>
      </c>
      <c r="G43" s="19">
        <f t="shared" si="4"/>
        <v>18.61004757</v>
      </c>
      <c r="H43" s="19">
        <f>'Tiktok Raw Data'!D43</f>
        <v>1604</v>
      </c>
      <c r="I43" s="17">
        <f t="shared" si="5"/>
        <v>0.01502504174</v>
      </c>
      <c r="J43" s="20">
        <f>'Tiktok Raw Data'!E43</f>
        <v>36</v>
      </c>
      <c r="K43" s="19">
        <f t="shared" si="6"/>
        <v>191.5</v>
      </c>
      <c r="L43" s="19">
        <f>'Tiktok Raw Data'!F43</f>
        <v>6894</v>
      </c>
    </row>
    <row r="44">
      <c r="A44" s="11">
        <f>'Tiktok Raw Data'!A44</f>
        <v>45700</v>
      </c>
      <c r="B44" s="14">
        <f t="shared" si="1"/>
        <v>2</v>
      </c>
      <c r="C44" s="12">
        <f>'Tiktok Raw Data'!B44</f>
        <v>102631</v>
      </c>
      <c r="D44" s="17">
        <f t="shared" si="2"/>
        <v>0.01971139324</v>
      </c>
      <c r="E44" s="12">
        <f>'Tiktok Raw Data'!C44</f>
        <v>2023</v>
      </c>
      <c r="F44" s="19">
        <f t="shared" si="3"/>
        <v>0.772120613</v>
      </c>
      <c r="G44" s="19">
        <f t="shared" si="4"/>
        <v>15.21957303</v>
      </c>
      <c r="H44" s="19">
        <f>'Tiktok Raw Data'!D44</f>
        <v>1562</v>
      </c>
      <c r="I44" s="17">
        <f t="shared" si="5"/>
        <v>0.01581809194</v>
      </c>
      <c r="J44" s="20">
        <f>'Tiktok Raw Data'!E44</f>
        <v>32</v>
      </c>
      <c r="K44" s="19">
        <f t="shared" si="6"/>
        <v>175.875</v>
      </c>
      <c r="L44" s="19">
        <f>'Tiktok Raw Data'!F44</f>
        <v>5628</v>
      </c>
    </row>
    <row r="45">
      <c r="A45" s="11">
        <f>'Tiktok Raw Data'!A45</f>
        <v>45701</v>
      </c>
      <c r="B45" s="14">
        <f t="shared" si="1"/>
        <v>2</v>
      </c>
      <c r="C45" s="12">
        <f>'Tiktok Raw Data'!B45</f>
        <v>38591</v>
      </c>
      <c r="D45" s="17">
        <f t="shared" si="2"/>
        <v>0.01598818377</v>
      </c>
      <c r="E45" s="12">
        <f>'Tiktok Raw Data'!C45</f>
        <v>617</v>
      </c>
      <c r="F45" s="19">
        <f t="shared" si="3"/>
        <v>1.089141005</v>
      </c>
      <c r="G45" s="19">
        <f t="shared" si="4"/>
        <v>17.41338654</v>
      </c>
      <c r="H45" s="19">
        <f>'Tiktok Raw Data'!D45</f>
        <v>672</v>
      </c>
      <c r="I45" s="17">
        <f t="shared" si="5"/>
        <v>0.02593192869</v>
      </c>
      <c r="J45" s="20">
        <f>'Tiktok Raw Data'!E45</f>
        <v>16</v>
      </c>
      <c r="K45" s="19">
        <f t="shared" si="6"/>
        <v>148.625</v>
      </c>
      <c r="L45" s="19">
        <f>'Tiktok Raw Data'!F45</f>
        <v>2378</v>
      </c>
    </row>
    <row r="46">
      <c r="A46" s="11">
        <f>'Tiktok Raw Data'!A46</f>
        <v>45702</v>
      </c>
      <c r="B46" s="14">
        <f t="shared" si="1"/>
        <v>2</v>
      </c>
      <c r="C46" s="12">
        <f>'Tiktok Raw Data'!B46</f>
        <v>105603</v>
      </c>
      <c r="D46" s="17">
        <f t="shared" si="2"/>
        <v>0.0207001695</v>
      </c>
      <c r="E46" s="12">
        <f>'Tiktok Raw Data'!C46</f>
        <v>2186</v>
      </c>
      <c r="F46" s="19">
        <f t="shared" si="3"/>
        <v>0.9583714547</v>
      </c>
      <c r="G46" s="19">
        <f t="shared" si="4"/>
        <v>19.83845156</v>
      </c>
      <c r="H46" s="19">
        <f>'Tiktok Raw Data'!D46</f>
        <v>2095</v>
      </c>
      <c r="I46" s="17">
        <f t="shared" si="5"/>
        <v>0.02287282708</v>
      </c>
      <c r="J46" s="20">
        <f>'Tiktok Raw Data'!E46</f>
        <v>50</v>
      </c>
      <c r="K46" s="19">
        <f t="shared" si="6"/>
        <v>159.92</v>
      </c>
      <c r="L46" s="19">
        <f>'Tiktok Raw Data'!F46</f>
        <v>7996</v>
      </c>
    </row>
    <row r="47">
      <c r="A47" s="11">
        <f>'Tiktok Raw Data'!A47</f>
        <v>45703</v>
      </c>
      <c r="B47" s="14">
        <f t="shared" si="1"/>
        <v>2</v>
      </c>
      <c r="C47" s="12">
        <f>'Tiktok Raw Data'!B47</f>
        <v>86755</v>
      </c>
      <c r="D47" s="17">
        <f t="shared" si="2"/>
        <v>0.02905884387</v>
      </c>
      <c r="E47" s="12">
        <f>'Tiktok Raw Data'!C47</f>
        <v>2521</v>
      </c>
      <c r="F47" s="19">
        <f t="shared" si="3"/>
        <v>1.178103927</v>
      </c>
      <c r="G47" s="19">
        <f t="shared" si="4"/>
        <v>34.23433808</v>
      </c>
      <c r="H47" s="19">
        <f>'Tiktok Raw Data'!D47</f>
        <v>2970</v>
      </c>
      <c r="I47" s="17">
        <f t="shared" si="5"/>
        <v>0.01150337168</v>
      </c>
      <c r="J47" s="20">
        <f>'Tiktok Raw Data'!E47</f>
        <v>29</v>
      </c>
      <c r="K47" s="19">
        <f t="shared" si="6"/>
        <v>200.5517241</v>
      </c>
      <c r="L47" s="19">
        <f>'Tiktok Raw Data'!F47</f>
        <v>5816</v>
      </c>
    </row>
    <row r="48">
      <c r="A48" s="11">
        <f>'Tiktok Raw Data'!A48</f>
        <v>45704</v>
      </c>
      <c r="B48" s="14">
        <f t="shared" si="1"/>
        <v>2</v>
      </c>
      <c r="C48" s="12">
        <f>'Tiktok Raw Data'!B48</f>
        <v>24397</v>
      </c>
      <c r="D48" s="17">
        <f t="shared" si="2"/>
        <v>0.01024716154</v>
      </c>
      <c r="E48" s="12">
        <f>'Tiktok Raw Data'!C48</f>
        <v>250</v>
      </c>
      <c r="F48" s="19">
        <f t="shared" si="3"/>
        <v>1.032</v>
      </c>
      <c r="G48" s="19">
        <f t="shared" si="4"/>
        <v>10.57507071</v>
      </c>
      <c r="H48" s="19">
        <f>'Tiktok Raw Data'!D48</f>
        <v>258</v>
      </c>
      <c r="I48" s="17">
        <f t="shared" si="5"/>
        <v>0.02</v>
      </c>
      <c r="J48" s="20">
        <f>'Tiktok Raw Data'!E48</f>
        <v>5</v>
      </c>
      <c r="K48" s="19">
        <f t="shared" si="6"/>
        <v>165.4</v>
      </c>
      <c r="L48" s="19">
        <f>'Tiktok Raw Data'!F48</f>
        <v>827</v>
      </c>
    </row>
    <row r="49">
      <c r="A49" s="11">
        <f>'Tiktok Raw Data'!A49</f>
        <v>45705</v>
      </c>
      <c r="B49" s="14">
        <f t="shared" si="1"/>
        <v>2</v>
      </c>
      <c r="C49" s="12">
        <f>'Tiktok Raw Data'!B49</f>
        <v>22719</v>
      </c>
      <c r="D49" s="17">
        <f t="shared" si="2"/>
        <v>0.009551476738</v>
      </c>
      <c r="E49" s="12">
        <f>'Tiktok Raw Data'!C49</f>
        <v>217</v>
      </c>
      <c r="F49" s="19">
        <f t="shared" si="3"/>
        <v>1.271889401</v>
      </c>
      <c r="G49" s="19">
        <f t="shared" si="4"/>
        <v>12.14842203</v>
      </c>
      <c r="H49" s="19">
        <f>'Tiktok Raw Data'!D49</f>
        <v>276</v>
      </c>
      <c r="I49" s="17">
        <f t="shared" si="5"/>
        <v>0.01382488479</v>
      </c>
      <c r="J49" s="20">
        <f>'Tiktok Raw Data'!E49</f>
        <v>3</v>
      </c>
      <c r="K49" s="19">
        <f t="shared" si="6"/>
        <v>275.3333333</v>
      </c>
      <c r="L49" s="19">
        <f>'Tiktok Raw Data'!F49</f>
        <v>826</v>
      </c>
    </row>
    <row r="50">
      <c r="A50" s="11">
        <f>'Tiktok Raw Data'!A50</f>
        <v>45706</v>
      </c>
      <c r="B50" s="14">
        <f t="shared" si="1"/>
        <v>2</v>
      </c>
      <c r="C50" s="12">
        <f>'Tiktok Raw Data'!B50</f>
        <v>68469</v>
      </c>
      <c r="D50" s="17">
        <f t="shared" si="2"/>
        <v>0.01345134294</v>
      </c>
      <c r="E50" s="12">
        <f>'Tiktok Raw Data'!C50</f>
        <v>921</v>
      </c>
      <c r="F50" s="19">
        <f t="shared" si="3"/>
        <v>1.114006515</v>
      </c>
      <c r="G50" s="19">
        <f t="shared" si="4"/>
        <v>14.98488367</v>
      </c>
      <c r="H50" s="19">
        <f>'Tiktok Raw Data'!D50</f>
        <v>1026</v>
      </c>
      <c r="I50" s="17">
        <f t="shared" si="5"/>
        <v>0.01194353963</v>
      </c>
      <c r="J50" s="20">
        <f>'Tiktok Raw Data'!E50</f>
        <v>11</v>
      </c>
      <c r="K50" s="19">
        <f t="shared" si="6"/>
        <v>199.7272727</v>
      </c>
      <c r="L50" s="19">
        <f>'Tiktok Raw Data'!F50</f>
        <v>2197</v>
      </c>
    </row>
    <row r="51">
      <c r="A51" s="11">
        <f>'Tiktok Raw Data'!A51</f>
        <v>45707</v>
      </c>
      <c r="B51" s="14">
        <f t="shared" si="1"/>
        <v>2</v>
      </c>
      <c r="C51" s="12">
        <f>'Tiktok Raw Data'!B51</f>
        <v>35741</v>
      </c>
      <c r="D51" s="17">
        <f t="shared" si="2"/>
        <v>0.02193559218</v>
      </c>
      <c r="E51" s="12">
        <f>'Tiktok Raw Data'!C51</f>
        <v>784</v>
      </c>
      <c r="F51" s="19">
        <f t="shared" si="3"/>
        <v>1.264030612</v>
      </c>
      <c r="G51" s="19">
        <f t="shared" si="4"/>
        <v>27.72726001</v>
      </c>
      <c r="H51" s="19">
        <f>'Tiktok Raw Data'!D51</f>
        <v>991</v>
      </c>
      <c r="I51" s="17">
        <f t="shared" si="5"/>
        <v>0.01530612245</v>
      </c>
      <c r="J51" s="20">
        <f>'Tiktok Raw Data'!E51</f>
        <v>12</v>
      </c>
      <c r="K51" s="19">
        <f t="shared" si="6"/>
        <v>134.1666667</v>
      </c>
      <c r="L51" s="19">
        <f>'Tiktok Raw Data'!F51</f>
        <v>1610</v>
      </c>
    </row>
    <row r="52">
      <c r="A52" s="11">
        <f>'Tiktok Raw Data'!A52</f>
        <v>45708</v>
      </c>
      <c r="B52" s="14">
        <f t="shared" si="1"/>
        <v>2</v>
      </c>
      <c r="C52" s="12">
        <f>'Tiktok Raw Data'!B52</f>
        <v>92642</v>
      </c>
      <c r="D52" s="17">
        <f t="shared" si="2"/>
        <v>0.01798320416</v>
      </c>
      <c r="E52" s="12">
        <f>'Tiktok Raw Data'!C52</f>
        <v>1666</v>
      </c>
      <c r="F52" s="19">
        <f t="shared" si="3"/>
        <v>1.05942377</v>
      </c>
      <c r="G52" s="19">
        <f t="shared" si="4"/>
        <v>19.05183394</v>
      </c>
      <c r="H52" s="19">
        <f>'Tiktok Raw Data'!D52</f>
        <v>1765</v>
      </c>
      <c r="I52" s="17">
        <f t="shared" si="5"/>
        <v>0.02280912365</v>
      </c>
      <c r="J52" s="20">
        <f>'Tiktok Raw Data'!E52</f>
        <v>38</v>
      </c>
      <c r="K52" s="19">
        <f t="shared" si="6"/>
        <v>150.5</v>
      </c>
      <c r="L52" s="19">
        <f>'Tiktok Raw Data'!F52</f>
        <v>5719</v>
      </c>
    </row>
    <row r="53">
      <c r="A53" s="11">
        <f>'Tiktok Raw Data'!A53</f>
        <v>45709</v>
      </c>
      <c r="B53" s="14">
        <f t="shared" si="1"/>
        <v>2</v>
      </c>
      <c r="C53" s="12">
        <f>'Tiktok Raw Data'!B53</f>
        <v>108105</v>
      </c>
      <c r="D53" s="17">
        <f t="shared" si="2"/>
        <v>0.01074880903</v>
      </c>
      <c r="E53" s="12">
        <f>'Tiktok Raw Data'!C53</f>
        <v>1162</v>
      </c>
      <c r="F53" s="19">
        <f t="shared" si="3"/>
        <v>1.19707401</v>
      </c>
      <c r="G53" s="19">
        <f t="shared" si="4"/>
        <v>12.86711993</v>
      </c>
      <c r="H53" s="19">
        <f>'Tiktok Raw Data'!D53</f>
        <v>1391</v>
      </c>
      <c r="I53" s="17">
        <f t="shared" si="5"/>
        <v>0.01462994836</v>
      </c>
      <c r="J53" s="20">
        <f>'Tiktok Raw Data'!E53</f>
        <v>17</v>
      </c>
      <c r="K53" s="19">
        <f t="shared" si="6"/>
        <v>109.1764706</v>
      </c>
      <c r="L53" s="19">
        <f>'Tiktok Raw Data'!F53</f>
        <v>1856</v>
      </c>
    </row>
    <row r="54">
      <c r="A54" s="11">
        <f>'Tiktok Raw Data'!A54</f>
        <v>45710</v>
      </c>
      <c r="B54" s="14">
        <f t="shared" si="1"/>
        <v>2</v>
      </c>
      <c r="C54" s="12">
        <f>'Tiktok Raw Data'!B54</f>
        <v>81877</v>
      </c>
      <c r="D54" s="17">
        <f t="shared" si="2"/>
        <v>0.01482711873</v>
      </c>
      <c r="E54" s="12">
        <f>'Tiktok Raw Data'!C54</f>
        <v>1214</v>
      </c>
      <c r="F54" s="19">
        <f t="shared" si="3"/>
        <v>1.007413509</v>
      </c>
      <c r="G54" s="19">
        <f t="shared" si="4"/>
        <v>14.93703971</v>
      </c>
      <c r="H54" s="19">
        <f>'Tiktok Raw Data'!D54</f>
        <v>1223</v>
      </c>
      <c r="I54" s="17">
        <f t="shared" si="5"/>
        <v>0.01482701812</v>
      </c>
      <c r="J54" s="20">
        <f>'Tiktok Raw Data'!E54</f>
        <v>18</v>
      </c>
      <c r="K54" s="19">
        <f t="shared" si="6"/>
        <v>144.5555556</v>
      </c>
      <c r="L54" s="19">
        <f>'Tiktok Raw Data'!F54</f>
        <v>2602</v>
      </c>
    </row>
    <row r="55">
      <c r="A55" s="11">
        <f>'Tiktok Raw Data'!A55</f>
        <v>45711</v>
      </c>
      <c r="B55" s="14">
        <f t="shared" si="1"/>
        <v>2</v>
      </c>
      <c r="C55" s="12">
        <f>'Tiktok Raw Data'!B55</f>
        <v>103967</v>
      </c>
      <c r="D55" s="17">
        <f t="shared" si="2"/>
        <v>0.01125357084</v>
      </c>
      <c r="E55" s="12">
        <f>'Tiktok Raw Data'!C55</f>
        <v>1170</v>
      </c>
      <c r="F55" s="19">
        <f t="shared" si="3"/>
        <v>0.9384615385</v>
      </c>
      <c r="G55" s="19">
        <f t="shared" si="4"/>
        <v>10.56104341</v>
      </c>
      <c r="H55" s="19">
        <f>'Tiktok Raw Data'!D55</f>
        <v>1098</v>
      </c>
      <c r="I55" s="17">
        <f t="shared" si="5"/>
        <v>0.02307692308</v>
      </c>
      <c r="J55" s="20">
        <f>'Tiktok Raw Data'!E55</f>
        <v>27</v>
      </c>
      <c r="K55" s="19">
        <f t="shared" si="6"/>
        <v>211.5925926</v>
      </c>
      <c r="L55" s="19">
        <f>'Tiktok Raw Data'!F55</f>
        <v>5713</v>
      </c>
    </row>
    <row r="56">
      <c r="A56" s="11">
        <f>'Tiktok Raw Data'!A56</f>
        <v>45712</v>
      </c>
      <c r="B56" s="14">
        <f t="shared" si="1"/>
        <v>2</v>
      </c>
      <c r="C56" s="12">
        <f>'Tiktok Raw Data'!B56</f>
        <v>27443</v>
      </c>
      <c r="D56" s="17">
        <f t="shared" si="2"/>
        <v>0.02302955216</v>
      </c>
      <c r="E56" s="12">
        <f>'Tiktok Raw Data'!C56</f>
        <v>632</v>
      </c>
      <c r="F56" s="19">
        <f t="shared" si="3"/>
        <v>0.8481012658</v>
      </c>
      <c r="G56" s="19">
        <f t="shared" si="4"/>
        <v>19.53139234</v>
      </c>
      <c r="H56" s="19">
        <f>'Tiktok Raw Data'!D56</f>
        <v>536</v>
      </c>
      <c r="I56" s="17">
        <f t="shared" si="5"/>
        <v>0.01107594937</v>
      </c>
      <c r="J56" s="20">
        <f>'Tiktok Raw Data'!E56</f>
        <v>7</v>
      </c>
      <c r="K56" s="19">
        <f t="shared" si="6"/>
        <v>124</v>
      </c>
      <c r="L56" s="19">
        <f>'Tiktok Raw Data'!F56</f>
        <v>868</v>
      </c>
    </row>
    <row r="57">
      <c r="A57" s="11">
        <f>'Tiktok Raw Data'!A57</f>
        <v>45713</v>
      </c>
      <c r="B57" s="14">
        <f t="shared" si="1"/>
        <v>2</v>
      </c>
      <c r="C57" s="12">
        <f>'Tiktok Raw Data'!B57</f>
        <v>66742</v>
      </c>
      <c r="D57" s="17">
        <f t="shared" si="2"/>
        <v>0.01796469989</v>
      </c>
      <c r="E57" s="12">
        <f>'Tiktok Raw Data'!C57</f>
        <v>1199</v>
      </c>
      <c r="F57" s="19">
        <f t="shared" si="3"/>
        <v>0.6380316931</v>
      </c>
      <c r="G57" s="19">
        <f t="shared" si="4"/>
        <v>11.46204789</v>
      </c>
      <c r="H57" s="19">
        <f>'Tiktok Raw Data'!D57</f>
        <v>765</v>
      </c>
      <c r="I57" s="17">
        <f t="shared" si="5"/>
        <v>0.01584653878</v>
      </c>
      <c r="J57" s="20">
        <f>'Tiktok Raw Data'!E57</f>
        <v>19</v>
      </c>
      <c r="K57" s="19">
        <f t="shared" si="6"/>
        <v>122.8421053</v>
      </c>
      <c r="L57" s="19">
        <f>'Tiktok Raw Data'!F57</f>
        <v>2334</v>
      </c>
    </row>
    <row r="58">
      <c r="A58" s="11">
        <f>'Tiktok Raw Data'!A58</f>
        <v>45714</v>
      </c>
      <c r="B58" s="14">
        <f t="shared" si="1"/>
        <v>2</v>
      </c>
      <c r="C58" s="12">
        <f>'Tiktok Raw Data'!B58</f>
        <v>94411</v>
      </c>
      <c r="D58" s="17">
        <f t="shared" si="2"/>
        <v>0.02856658652</v>
      </c>
      <c r="E58" s="12">
        <f>'Tiktok Raw Data'!C58</f>
        <v>2697</v>
      </c>
      <c r="F58" s="19">
        <f t="shared" si="3"/>
        <v>0.9603262885</v>
      </c>
      <c r="G58" s="19">
        <f t="shared" si="4"/>
        <v>27.43324401</v>
      </c>
      <c r="H58" s="19">
        <f>'Tiktok Raw Data'!D58</f>
        <v>2590</v>
      </c>
      <c r="I58" s="17">
        <f t="shared" si="5"/>
        <v>0.01631442343</v>
      </c>
      <c r="J58" s="20">
        <f>'Tiktok Raw Data'!E58</f>
        <v>44</v>
      </c>
      <c r="K58" s="19">
        <f t="shared" si="6"/>
        <v>152.6136364</v>
      </c>
      <c r="L58" s="19">
        <f>'Tiktok Raw Data'!F58</f>
        <v>6715</v>
      </c>
    </row>
    <row r="59">
      <c r="A59" s="11">
        <f>'Tiktok Raw Data'!A59</f>
        <v>45715</v>
      </c>
      <c r="B59" s="14">
        <f t="shared" si="1"/>
        <v>2</v>
      </c>
      <c r="C59" s="12">
        <f>'Tiktok Raw Data'!B59</f>
        <v>59457</v>
      </c>
      <c r="D59" s="17">
        <f t="shared" si="2"/>
        <v>0.02960122441</v>
      </c>
      <c r="E59" s="12">
        <f>'Tiktok Raw Data'!C59</f>
        <v>1760</v>
      </c>
      <c r="F59" s="19">
        <f t="shared" si="3"/>
        <v>1.027272727</v>
      </c>
      <c r="G59" s="19">
        <f t="shared" si="4"/>
        <v>30.40853053</v>
      </c>
      <c r="H59" s="19">
        <f>'Tiktok Raw Data'!D59</f>
        <v>1808</v>
      </c>
      <c r="I59" s="17">
        <f t="shared" si="5"/>
        <v>0.01022727273</v>
      </c>
      <c r="J59" s="20">
        <f>'Tiktok Raw Data'!E59</f>
        <v>18</v>
      </c>
      <c r="K59" s="19">
        <f t="shared" si="6"/>
        <v>218.6666667</v>
      </c>
      <c r="L59" s="19">
        <f>'Tiktok Raw Data'!F59</f>
        <v>3936</v>
      </c>
    </row>
    <row r="60">
      <c r="A60" s="11">
        <f>'Tiktok Raw Data'!A60</f>
        <v>45716</v>
      </c>
      <c r="B60" s="14">
        <f t="shared" si="1"/>
        <v>2</v>
      </c>
      <c r="C60" s="12">
        <f>'Tiktok Raw Data'!B60</f>
        <v>26211</v>
      </c>
      <c r="D60" s="17">
        <f t="shared" si="2"/>
        <v>0.007935599557</v>
      </c>
      <c r="E60" s="12">
        <f>'Tiktok Raw Data'!C60</f>
        <v>208</v>
      </c>
      <c r="F60" s="19">
        <f t="shared" si="3"/>
        <v>1.028846154</v>
      </c>
      <c r="G60" s="19">
        <f t="shared" si="4"/>
        <v>8.164511083</v>
      </c>
      <c r="H60" s="19">
        <f>'Tiktok Raw Data'!D60</f>
        <v>214</v>
      </c>
      <c r="I60" s="17">
        <f t="shared" si="5"/>
        <v>0.009615384615</v>
      </c>
      <c r="J60" s="20">
        <f>'Tiktok Raw Data'!E60</f>
        <v>2</v>
      </c>
      <c r="K60" s="19">
        <f t="shared" si="6"/>
        <v>225.5</v>
      </c>
      <c r="L60" s="19">
        <f>'Tiktok Raw Data'!F60</f>
        <v>451</v>
      </c>
    </row>
    <row r="61">
      <c r="A61" s="11">
        <f>'Tiktok Raw Data'!A61</f>
        <v>45717</v>
      </c>
      <c r="B61" s="14">
        <f t="shared" si="1"/>
        <v>3</v>
      </c>
      <c r="C61" s="12">
        <f>'Tiktok Raw Data'!B61</f>
        <v>85553</v>
      </c>
      <c r="D61" s="17">
        <f t="shared" si="2"/>
        <v>0.01766156651</v>
      </c>
      <c r="E61" s="12">
        <f>'Tiktok Raw Data'!C61</f>
        <v>1511</v>
      </c>
      <c r="F61" s="19">
        <f t="shared" si="3"/>
        <v>0.8782263402</v>
      </c>
      <c r="G61" s="19">
        <f t="shared" si="4"/>
        <v>15.51085292</v>
      </c>
      <c r="H61" s="19">
        <f>'Tiktok Raw Data'!D61</f>
        <v>1327</v>
      </c>
      <c r="I61" s="17">
        <f t="shared" si="5"/>
        <v>0.02448709464</v>
      </c>
      <c r="J61" s="20">
        <f>'Tiktok Raw Data'!E61</f>
        <v>37</v>
      </c>
      <c r="K61" s="19">
        <f t="shared" si="6"/>
        <v>159.6756757</v>
      </c>
      <c r="L61" s="19">
        <f>'Tiktok Raw Data'!F61</f>
        <v>5908</v>
      </c>
    </row>
    <row r="62">
      <c r="A62" s="11">
        <f>'Tiktok Raw Data'!A62</f>
        <v>45718</v>
      </c>
      <c r="B62" s="14">
        <f t="shared" si="1"/>
        <v>3</v>
      </c>
      <c r="C62" s="12">
        <f>'Tiktok Raw Data'!B62</f>
        <v>54557</v>
      </c>
      <c r="D62" s="17">
        <f t="shared" si="2"/>
        <v>0.02822735854</v>
      </c>
      <c r="E62" s="12">
        <f>'Tiktok Raw Data'!C62</f>
        <v>1540</v>
      </c>
      <c r="F62" s="19">
        <f t="shared" si="3"/>
        <v>1.15974026</v>
      </c>
      <c r="G62" s="19">
        <f t="shared" si="4"/>
        <v>32.73640413</v>
      </c>
      <c r="H62" s="19">
        <f>'Tiktok Raw Data'!D62</f>
        <v>1786</v>
      </c>
      <c r="I62" s="17">
        <f t="shared" si="5"/>
        <v>0.01883116883</v>
      </c>
      <c r="J62" s="20">
        <f>'Tiktok Raw Data'!E62</f>
        <v>29</v>
      </c>
      <c r="K62" s="19">
        <f t="shared" si="6"/>
        <v>164.3793103</v>
      </c>
      <c r="L62" s="19">
        <f>'Tiktok Raw Data'!F62</f>
        <v>4767</v>
      </c>
    </row>
    <row r="63">
      <c r="A63" s="11">
        <f>'Tiktok Raw Data'!A63</f>
        <v>45719</v>
      </c>
      <c r="B63" s="14">
        <f t="shared" si="1"/>
        <v>3</v>
      </c>
      <c r="C63" s="12">
        <f>'Tiktok Raw Data'!B63</f>
        <v>33309</v>
      </c>
      <c r="D63" s="17">
        <f t="shared" si="2"/>
        <v>0.01972439881</v>
      </c>
      <c r="E63" s="12">
        <f>'Tiktok Raw Data'!C63</f>
        <v>657</v>
      </c>
      <c r="F63" s="19">
        <f t="shared" si="3"/>
        <v>0.9193302892</v>
      </c>
      <c r="G63" s="19">
        <f t="shared" si="4"/>
        <v>18.13323726</v>
      </c>
      <c r="H63" s="19">
        <f>'Tiktok Raw Data'!D63</f>
        <v>604</v>
      </c>
      <c r="I63" s="17">
        <f t="shared" si="5"/>
        <v>0.02435312024</v>
      </c>
      <c r="J63" s="20">
        <f>'Tiktok Raw Data'!E63</f>
        <v>16</v>
      </c>
      <c r="K63" s="19">
        <f t="shared" si="6"/>
        <v>201.5625</v>
      </c>
      <c r="L63" s="19">
        <f>'Tiktok Raw Data'!F63</f>
        <v>3225</v>
      </c>
    </row>
    <row r="64">
      <c r="A64" s="11">
        <f>'Tiktok Raw Data'!A64</f>
        <v>45720</v>
      </c>
      <c r="B64" s="14">
        <f t="shared" si="1"/>
        <v>3</v>
      </c>
      <c r="C64" s="12">
        <f>'Tiktok Raw Data'!B64</f>
        <v>41657</v>
      </c>
      <c r="D64" s="17">
        <f t="shared" si="2"/>
        <v>0.0158676813</v>
      </c>
      <c r="E64" s="12">
        <f>'Tiktok Raw Data'!C64</f>
        <v>661</v>
      </c>
      <c r="F64" s="19">
        <f t="shared" si="3"/>
        <v>0.9636913767</v>
      </c>
      <c r="G64" s="19">
        <f t="shared" si="4"/>
        <v>15.29154764</v>
      </c>
      <c r="H64" s="19">
        <f>'Tiktok Raw Data'!D64</f>
        <v>637</v>
      </c>
      <c r="I64" s="17">
        <f t="shared" si="5"/>
        <v>0.01815431165</v>
      </c>
      <c r="J64" s="20">
        <f>'Tiktok Raw Data'!E64</f>
        <v>12</v>
      </c>
      <c r="K64" s="19">
        <f t="shared" si="6"/>
        <v>199.25</v>
      </c>
      <c r="L64" s="19">
        <f>'Tiktok Raw Data'!F64</f>
        <v>2391</v>
      </c>
    </row>
    <row r="65">
      <c r="A65" s="11">
        <f>'Tiktok Raw Data'!A65</f>
        <v>45721</v>
      </c>
      <c r="B65" s="14">
        <f t="shared" si="1"/>
        <v>3</v>
      </c>
      <c r="C65" s="12">
        <f>'Tiktok Raw Data'!B65</f>
        <v>68691</v>
      </c>
      <c r="D65" s="17">
        <f t="shared" si="2"/>
        <v>0.02556375653</v>
      </c>
      <c r="E65" s="12">
        <f>'Tiktok Raw Data'!C65</f>
        <v>1756</v>
      </c>
      <c r="F65" s="19">
        <f t="shared" si="3"/>
        <v>0.9681093394</v>
      </c>
      <c r="G65" s="19">
        <f t="shared" si="4"/>
        <v>24.74851145</v>
      </c>
      <c r="H65" s="19">
        <f>'Tiktok Raw Data'!D65</f>
        <v>1700</v>
      </c>
      <c r="I65" s="17">
        <f t="shared" si="5"/>
        <v>0.02107061503</v>
      </c>
      <c r="J65" s="20">
        <f>'Tiktok Raw Data'!E65</f>
        <v>37</v>
      </c>
      <c r="K65" s="19">
        <f t="shared" si="6"/>
        <v>118.7567568</v>
      </c>
      <c r="L65" s="19">
        <f>'Tiktok Raw Data'!F65</f>
        <v>4394</v>
      </c>
    </row>
    <row r="66">
      <c r="A66" s="11">
        <f>'Tiktok Raw Data'!A66</f>
        <v>45722</v>
      </c>
      <c r="B66" s="14">
        <f t="shared" si="1"/>
        <v>3</v>
      </c>
      <c r="C66" s="12">
        <f>'Tiktok Raw Data'!B66</f>
        <v>65226</v>
      </c>
      <c r="D66" s="17">
        <f t="shared" si="2"/>
        <v>0.0242694631</v>
      </c>
      <c r="E66" s="12">
        <f>'Tiktok Raw Data'!C66</f>
        <v>1583</v>
      </c>
      <c r="F66" s="19">
        <f t="shared" si="3"/>
        <v>0.8010107391</v>
      </c>
      <c r="G66" s="19">
        <f t="shared" si="4"/>
        <v>19.44010057</v>
      </c>
      <c r="H66" s="19">
        <f>'Tiktok Raw Data'!D66</f>
        <v>1268</v>
      </c>
      <c r="I66" s="17">
        <f t="shared" si="5"/>
        <v>0.01579279848</v>
      </c>
      <c r="J66" s="20">
        <f>'Tiktok Raw Data'!E66</f>
        <v>25</v>
      </c>
      <c r="K66" s="19">
        <f t="shared" si="6"/>
        <v>183.52</v>
      </c>
      <c r="L66" s="19">
        <f>'Tiktok Raw Data'!F66</f>
        <v>4588</v>
      </c>
    </row>
    <row r="67">
      <c r="A67" s="11">
        <f>'Tiktok Raw Data'!A67</f>
        <v>45723</v>
      </c>
      <c r="B67" s="14">
        <f t="shared" si="1"/>
        <v>3</v>
      </c>
      <c r="C67" s="12">
        <f>'Tiktok Raw Data'!B67</f>
        <v>35908</v>
      </c>
      <c r="D67" s="17">
        <f t="shared" si="2"/>
        <v>0.02144368943</v>
      </c>
      <c r="E67" s="12">
        <f>'Tiktok Raw Data'!C67</f>
        <v>770</v>
      </c>
      <c r="F67" s="19">
        <f t="shared" si="3"/>
        <v>0.6779220779</v>
      </c>
      <c r="G67" s="19">
        <f t="shared" si="4"/>
        <v>14.5371505</v>
      </c>
      <c r="H67" s="19">
        <f>'Tiktok Raw Data'!D67</f>
        <v>522</v>
      </c>
      <c r="I67" s="17">
        <f t="shared" si="5"/>
        <v>0.01688311688</v>
      </c>
      <c r="J67" s="20">
        <f>'Tiktok Raw Data'!E67</f>
        <v>13</v>
      </c>
      <c r="K67" s="19">
        <f t="shared" si="6"/>
        <v>116.6153846</v>
      </c>
      <c r="L67" s="19">
        <f>'Tiktok Raw Data'!F67</f>
        <v>1516</v>
      </c>
    </row>
    <row r="68">
      <c r="A68" s="11">
        <f>'Tiktok Raw Data'!A68</f>
        <v>45724</v>
      </c>
      <c r="B68" s="14">
        <f t="shared" si="1"/>
        <v>3</v>
      </c>
      <c r="C68" s="12">
        <f>'Tiktok Raw Data'!B68</f>
        <v>90050</v>
      </c>
      <c r="D68" s="17">
        <f t="shared" si="2"/>
        <v>0.02903942254</v>
      </c>
      <c r="E68" s="12">
        <f>'Tiktok Raw Data'!C68</f>
        <v>2615</v>
      </c>
      <c r="F68" s="19">
        <f t="shared" si="3"/>
        <v>0.5992351816</v>
      </c>
      <c r="G68" s="19">
        <f t="shared" si="4"/>
        <v>17.40144364</v>
      </c>
      <c r="H68" s="19">
        <f>'Tiktok Raw Data'!D68</f>
        <v>1567</v>
      </c>
      <c r="I68" s="17">
        <f t="shared" si="5"/>
        <v>0.02026768642</v>
      </c>
      <c r="J68" s="20">
        <f>'Tiktok Raw Data'!E68</f>
        <v>53</v>
      </c>
      <c r="K68" s="19">
        <f t="shared" si="6"/>
        <v>109.2830189</v>
      </c>
      <c r="L68" s="19">
        <f>'Tiktok Raw Data'!F68</f>
        <v>5792</v>
      </c>
    </row>
    <row r="69">
      <c r="A69" s="11">
        <f>'Tiktok Raw Data'!A69</f>
        <v>45725</v>
      </c>
      <c r="B69" s="14">
        <f t="shared" si="1"/>
        <v>3</v>
      </c>
      <c r="C69" s="12">
        <f>'Tiktok Raw Data'!B69</f>
        <v>82917</v>
      </c>
      <c r="D69" s="17">
        <f t="shared" si="2"/>
        <v>0.02867928169</v>
      </c>
      <c r="E69" s="12">
        <f>'Tiktok Raw Data'!C69</f>
        <v>2378</v>
      </c>
      <c r="F69" s="19">
        <f t="shared" si="3"/>
        <v>0.968881413</v>
      </c>
      <c r="G69" s="19">
        <f t="shared" si="4"/>
        <v>27.78682297</v>
      </c>
      <c r="H69" s="19">
        <f>'Tiktok Raw Data'!D69</f>
        <v>2304</v>
      </c>
      <c r="I69" s="17">
        <f t="shared" si="5"/>
        <v>0.02270815812</v>
      </c>
      <c r="J69" s="20">
        <f>'Tiktok Raw Data'!E69</f>
        <v>54</v>
      </c>
      <c r="K69" s="19">
        <f t="shared" si="6"/>
        <v>159.2407407</v>
      </c>
      <c r="L69" s="19">
        <f>'Tiktok Raw Data'!F69</f>
        <v>8599</v>
      </c>
    </row>
    <row r="70">
      <c r="A70" s="11">
        <f>'Tiktok Raw Data'!A70</f>
        <v>45726</v>
      </c>
      <c r="B70" s="14">
        <f t="shared" si="1"/>
        <v>3</v>
      </c>
      <c r="C70" s="12">
        <f>'Tiktok Raw Data'!B70</f>
        <v>90435</v>
      </c>
      <c r="D70" s="17">
        <f t="shared" si="2"/>
        <v>0.02637253276</v>
      </c>
      <c r="E70" s="12">
        <f>'Tiktok Raw Data'!C70</f>
        <v>2385</v>
      </c>
      <c r="F70" s="19">
        <f t="shared" si="3"/>
        <v>1.000419287</v>
      </c>
      <c r="G70" s="19">
        <f t="shared" si="4"/>
        <v>26.38359042</v>
      </c>
      <c r="H70" s="19">
        <f>'Tiktok Raw Data'!D70</f>
        <v>2386</v>
      </c>
      <c r="I70" s="17">
        <f t="shared" si="5"/>
        <v>0.0213836478</v>
      </c>
      <c r="J70" s="20">
        <f>'Tiktok Raw Data'!E70</f>
        <v>51</v>
      </c>
      <c r="K70" s="19">
        <f t="shared" si="6"/>
        <v>175.5098039</v>
      </c>
      <c r="L70" s="19">
        <f>'Tiktok Raw Data'!F70</f>
        <v>8951</v>
      </c>
    </row>
    <row r="71">
      <c r="A71" s="11">
        <f>'Tiktok Raw Data'!A71</f>
        <v>45727</v>
      </c>
      <c r="B71" s="14">
        <f t="shared" si="1"/>
        <v>3</v>
      </c>
      <c r="C71" s="12">
        <f>'Tiktok Raw Data'!B71</f>
        <v>45828</v>
      </c>
      <c r="D71" s="17">
        <f t="shared" si="2"/>
        <v>0.02339181287</v>
      </c>
      <c r="E71" s="12">
        <f>'Tiktok Raw Data'!C71</f>
        <v>1072</v>
      </c>
      <c r="F71" s="19">
        <f t="shared" si="3"/>
        <v>0.6585820896</v>
      </c>
      <c r="G71" s="19">
        <f t="shared" si="4"/>
        <v>15.405429</v>
      </c>
      <c r="H71" s="19">
        <f>'Tiktok Raw Data'!D71</f>
        <v>706</v>
      </c>
      <c r="I71" s="17">
        <f t="shared" si="5"/>
        <v>0.01119402985</v>
      </c>
      <c r="J71" s="20">
        <f>'Tiktok Raw Data'!E71</f>
        <v>12</v>
      </c>
      <c r="K71" s="19">
        <f t="shared" si="6"/>
        <v>195.6666667</v>
      </c>
      <c r="L71" s="19">
        <f>'Tiktok Raw Data'!F71</f>
        <v>2348</v>
      </c>
    </row>
    <row r="72">
      <c r="A72" s="11">
        <f>'Tiktok Raw Data'!A72</f>
        <v>45728</v>
      </c>
      <c r="B72" s="14">
        <f t="shared" si="1"/>
        <v>3</v>
      </c>
      <c r="C72" s="12">
        <f>'Tiktok Raw Data'!B72</f>
        <v>96808</v>
      </c>
      <c r="D72" s="17">
        <f t="shared" si="2"/>
        <v>0.02142384927</v>
      </c>
      <c r="E72" s="12">
        <f>'Tiktok Raw Data'!C72</f>
        <v>2074</v>
      </c>
      <c r="F72" s="19">
        <f t="shared" si="3"/>
        <v>0.7994214079</v>
      </c>
      <c r="G72" s="19">
        <f t="shared" si="4"/>
        <v>17.12668375</v>
      </c>
      <c r="H72" s="19">
        <f>'Tiktok Raw Data'!D72</f>
        <v>1658</v>
      </c>
      <c r="I72" s="17">
        <f t="shared" si="5"/>
        <v>0.01735776278</v>
      </c>
      <c r="J72" s="20">
        <f>'Tiktok Raw Data'!E72</f>
        <v>36</v>
      </c>
      <c r="K72" s="19">
        <f t="shared" si="6"/>
        <v>172.9444444</v>
      </c>
      <c r="L72" s="19">
        <f>'Tiktok Raw Data'!F72</f>
        <v>6226</v>
      </c>
    </row>
    <row r="73">
      <c r="A73" s="11">
        <f>'Tiktok Raw Data'!A73</f>
        <v>45729</v>
      </c>
      <c r="B73" s="14">
        <f t="shared" si="1"/>
        <v>3</v>
      </c>
      <c r="C73" s="12">
        <f>'Tiktok Raw Data'!B73</f>
        <v>36019</v>
      </c>
      <c r="D73" s="17">
        <f t="shared" si="2"/>
        <v>0.01837918876</v>
      </c>
      <c r="E73" s="12">
        <f>'Tiktok Raw Data'!C73</f>
        <v>662</v>
      </c>
      <c r="F73" s="19">
        <f t="shared" si="3"/>
        <v>0.8157099698</v>
      </c>
      <c r="G73" s="19">
        <f t="shared" si="4"/>
        <v>14.99208751</v>
      </c>
      <c r="H73" s="19">
        <f>'Tiktok Raw Data'!D73</f>
        <v>540</v>
      </c>
      <c r="I73" s="17">
        <f t="shared" si="5"/>
        <v>0.0166163142</v>
      </c>
      <c r="J73" s="20">
        <f>'Tiktok Raw Data'!E73</f>
        <v>11</v>
      </c>
      <c r="K73" s="19">
        <f t="shared" si="6"/>
        <v>159.4545455</v>
      </c>
      <c r="L73" s="19">
        <f>'Tiktok Raw Data'!F73</f>
        <v>1754</v>
      </c>
    </row>
    <row r="74">
      <c r="A74" s="11">
        <f>'Tiktok Raw Data'!A74</f>
        <v>45730</v>
      </c>
      <c r="B74" s="14">
        <f t="shared" si="1"/>
        <v>3</v>
      </c>
      <c r="C74" s="12">
        <f>'Tiktok Raw Data'!B74</f>
        <v>65734</v>
      </c>
      <c r="D74" s="17">
        <f t="shared" si="2"/>
        <v>0.01259622113</v>
      </c>
      <c r="E74" s="12">
        <f>'Tiktok Raw Data'!C74</f>
        <v>828</v>
      </c>
      <c r="F74" s="19">
        <f t="shared" si="3"/>
        <v>1.146135266</v>
      </c>
      <c r="G74" s="19">
        <f t="shared" si="4"/>
        <v>14.43697326</v>
      </c>
      <c r="H74" s="19">
        <f>'Tiktok Raw Data'!D74</f>
        <v>949</v>
      </c>
      <c r="I74" s="17">
        <f t="shared" si="5"/>
        <v>0.01328502415</v>
      </c>
      <c r="J74" s="20">
        <f>'Tiktok Raw Data'!E74</f>
        <v>11</v>
      </c>
      <c r="K74" s="19">
        <f t="shared" si="6"/>
        <v>105.5454545</v>
      </c>
      <c r="L74" s="19">
        <f>'Tiktok Raw Data'!F74</f>
        <v>1161</v>
      </c>
    </row>
    <row r="75">
      <c r="A75" s="11">
        <f>'Tiktok Raw Data'!A75</f>
        <v>45731</v>
      </c>
      <c r="B75" s="14">
        <f t="shared" si="1"/>
        <v>3</v>
      </c>
      <c r="C75" s="12">
        <f>'Tiktok Raw Data'!B75</f>
        <v>34177</v>
      </c>
      <c r="D75" s="17">
        <f t="shared" si="2"/>
        <v>0.01114784797</v>
      </c>
      <c r="E75" s="12">
        <f>'Tiktok Raw Data'!C75</f>
        <v>381</v>
      </c>
      <c r="F75" s="19">
        <f t="shared" si="3"/>
        <v>0.7322834646</v>
      </c>
      <c r="G75" s="19">
        <f t="shared" si="4"/>
        <v>8.163384732</v>
      </c>
      <c r="H75" s="19">
        <f>'Tiktok Raw Data'!D75</f>
        <v>279</v>
      </c>
      <c r="I75" s="17">
        <f t="shared" si="5"/>
        <v>0.0157480315</v>
      </c>
      <c r="J75" s="20">
        <f>'Tiktok Raw Data'!E75</f>
        <v>6</v>
      </c>
      <c r="K75" s="19">
        <f t="shared" si="6"/>
        <v>209.6666667</v>
      </c>
      <c r="L75" s="19">
        <f>'Tiktok Raw Data'!F75</f>
        <v>1258</v>
      </c>
    </row>
    <row r="76">
      <c r="A76" s="11">
        <f>'Tiktok Raw Data'!A76</f>
        <v>45732</v>
      </c>
      <c r="B76" s="14">
        <f t="shared" si="1"/>
        <v>3</v>
      </c>
      <c r="C76" s="12">
        <f>'Tiktok Raw Data'!B76</f>
        <v>39087</v>
      </c>
      <c r="D76" s="17">
        <f t="shared" si="2"/>
        <v>0.0163737304</v>
      </c>
      <c r="E76" s="12">
        <f>'Tiktok Raw Data'!C76</f>
        <v>640</v>
      </c>
      <c r="F76" s="19">
        <f t="shared" si="3"/>
        <v>1.1625</v>
      </c>
      <c r="G76" s="19">
        <f t="shared" si="4"/>
        <v>19.03446159</v>
      </c>
      <c r="H76" s="19">
        <f>'Tiktok Raw Data'!D76</f>
        <v>744</v>
      </c>
      <c r="I76" s="17">
        <f t="shared" si="5"/>
        <v>0.015625</v>
      </c>
      <c r="J76" s="20">
        <f>'Tiktok Raw Data'!E76</f>
        <v>10</v>
      </c>
      <c r="K76" s="19">
        <f t="shared" si="6"/>
        <v>136.2</v>
      </c>
      <c r="L76" s="19">
        <f>'Tiktok Raw Data'!F76</f>
        <v>1362</v>
      </c>
    </row>
    <row r="77">
      <c r="A77" s="11">
        <f>'Tiktok Raw Data'!A77</f>
        <v>45733</v>
      </c>
      <c r="B77" s="14">
        <f t="shared" si="1"/>
        <v>3</v>
      </c>
      <c r="C77" s="12">
        <f>'Tiktok Raw Data'!B77</f>
        <v>66428</v>
      </c>
      <c r="D77" s="17">
        <f t="shared" si="2"/>
        <v>0.02628409707</v>
      </c>
      <c r="E77" s="12">
        <f>'Tiktok Raw Data'!C77</f>
        <v>1746</v>
      </c>
      <c r="F77" s="19">
        <f t="shared" si="3"/>
        <v>1.171248568</v>
      </c>
      <c r="G77" s="19">
        <f t="shared" si="4"/>
        <v>30.78521106</v>
      </c>
      <c r="H77" s="19">
        <f>'Tiktok Raw Data'!D77</f>
        <v>2045</v>
      </c>
      <c r="I77" s="17">
        <f t="shared" si="5"/>
        <v>0.02520045819</v>
      </c>
      <c r="J77" s="20">
        <f>'Tiktok Raw Data'!E77</f>
        <v>44</v>
      </c>
      <c r="K77" s="19">
        <f t="shared" si="6"/>
        <v>207.5681818</v>
      </c>
      <c r="L77" s="19">
        <f>'Tiktok Raw Data'!F77</f>
        <v>9133</v>
      </c>
    </row>
    <row r="78">
      <c r="A78" s="11">
        <f>'Tiktok Raw Data'!A78</f>
        <v>45734</v>
      </c>
      <c r="B78" s="14">
        <f t="shared" si="1"/>
        <v>3</v>
      </c>
      <c r="C78" s="12">
        <f>'Tiktok Raw Data'!B78</f>
        <v>49952</v>
      </c>
      <c r="D78" s="17">
        <f t="shared" si="2"/>
        <v>0.01701633568</v>
      </c>
      <c r="E78" s="12">
        <f>'Tiktok Raw Data'!C78</f>
        <v>850</v>
      </c>
      <c r="F78" s="19">
        <f t="shared" si="3"/>
        <v>1.055294118</v>
      </c>
      <c r="G78" s="19">
        <f t="shared" si="4"/>
        <v>17.95723895</v>
      </c>
      <c r="H78" s="19">
        <f>'Tiktok Raw Data'!D78</f>
        <v>897</v>
      </c>
      <c r="I78" s="17">
        <f t="shared" si="5"/>
        <v>0.01411764706</v>
      </c>
      <c r="J78" s="20">
        <f>'Tiktok Raw Data'!E78</f>
        <v>12</v>
      </c>
      <c r="K78" s="19">
        <f t="shared" si="6"/>
        <v>120.8333333</v>
      </c>
      <c r="L78" s="19">
        <f>'Tiktok Raw Data'!F78</f>
        <v>1450</v>
      </c>
    </row>
    <row r="79">
      <c r="A79" s="11">
        <f>'Tiktok Raw Data'!A79</f>
        <v>45735</v>
      </c>
      <c r="B79" s="14">
        <f t="shared" si="1"/>
        <v>3</v>
      </c>
      <c r="C79" s="12">
        <f>'Tiktok Raw Data'!B79</f>
        <v>38705</v>
      </c>
      <c r="D79" s="17">
        <f t="shared" si="2"/>
        <v>0.0182405374</v>
      </c>
      <c r="E79" s="12">
        <f>'Tiktok Raw Data'!C79</f>
        <v>706</v>
      </c>
      <c r="F79" s="19">
        <f t="shared" si="3"/>
        <v>0.8909348442</v>
      </c>
      <c r="G79" s="19">
        <f t="shared" si="4"/>
        <v>16.25113034</v>
      </c>
      <c r="H79" s="19">
        <f>'Tiktok Raw Data'!D79</f>
        <v>629</v>
      </c>
      <c r="I79" s="17">
        <f t="shared" si="5"/>
        <v>0.02124645892</v>
      </c>
      <c r="J79" s="20">
        <f>'Tiktok Raw Data'!E79</f>
        <v>15</v>
      </c>
      <c r="K79" s="19">
        <f t="shared" si="6"/>
        <v>219.6</v>
      </c>
      <c r="L79" s="19">
        <f>'Tiktok Raw Data'!F79</f>
        <v>3294</v>
      </c>
    </row>
    <row r="80">
      <c r="A80" s="11">
        <f>'Tiktok Raw Data'!A80</f>
        <v>45736</v>
      </c>
      <c r="B80" s="14">
        <f t="shared" si="1"/>
        <v>3</v>
      </c>
      <c r="C80" s="12">
        <f>'Tiktok Raw Data'!B80</f>
        <v>104415</v>
      </c>
      <c r="D80" s="17">
        <f t="shared" si="2"/>
        <v>0.0107551597</v>
      </c>
      <c r="E80" s="12">
        <f>'Tiktok Raw Data'!C80</f>
        <v>1123</v>
      </c>
      <c r="F80" s="19">
        <f t="shared" si="3"/>
        <v>1.154051647</v>
      </c>
      <c r="G80" s="19">
        <f t="shared" si="4"/>
        <v>12.41200977</v>
      </c>
      <c r="H80" s="19">
        <f>'Tiktok Raw Data'!D80</f>
        <v>1296</v>
      </c>
      <c r="I80" s="17">
        <f t="shared" si="5"/>
        <v>0.02226179875</v>
      </c>
      <c r="J80" s="20">
        <f>'Tiktok Raw Data'!E80</f>
        <v>25</v>
      </c>
      <c r="K80" s="19">
        <f t="shared" si="6"/>
        <v>206.16</v>
      </c>
      <c r="L80" s="19">
        <f>'Tiktok Raw Data'!F80</f>
        <v>5154</v>
      </c>
    </row>
    <row r="81">
      <c r="A81" s="11">
        <f>'Tiktok Raw Data'!A81</f>
        <v>45737</v>
      </c>
      <c r="B81" s="14">
        <f t="shared" si="1"/>
        <v>3</v>
      </c>
      <c r="C81" s="12">
        <f>'Tiktok Raw Data'!B81</f>
        <v>45418</v>
      </c>
      <c r="D81" s="17">
        <f t="shared" si="2"/>
        <v>0.01930952486</v>
      </c>
      <c r="E81" s="12">
        <f>'Tiktok Raw Data'!C81</f>
        <v>877</v>
      </c>
      <c r="F81" s="19">
        <f t="shared" si="3"/>
        <v>1.208665906</v>
      </c>
      <c r="G81" s="19">
        <f t="shared" si="4"/>
        <v>23.33876437</v>
      </c>
      <c r="H81" s="19">
        <f>'Tiktok Raw Data'!D81</f>
        <v>1060</v>
      </c>
      <c r="I81" s="17">
        <f t="shared" si="5"/>
        <v>0.02052451539</v>
      </c>
      <c r="J81" s="20">
        <f>'Tiktok Raw Data'!E81</f>
        <v>18</v>
      </c>
      <c r="K81" s="19">
        <f t="shared" si="6"/>
        <v>114.0555556</v>
      </c>
      <c r="L81" s="19">
        <f>'Tiktok Raw Data'!F81</f>
        <v>2053</v>
      </c>
    </row>
    <row r="82">
      <c r="A82" s="11">
        <f>'Tiktok Raw Data'!A82</f>
        <v>45738</v>
      </c>
      <c r="B82" s="14">
        <f t="shared" si="1"/>
        <v>3</v>
      </c>
      <c r="C82" s="12">
        <f>'Tiktok Raw Data'!B82</f>
        <v>43038</v>
      </c>
      <c r="D82" s="17">
        <f t="shared" si="2"/>
        <v>0.02648821971</v>
      </c>
      <c r="E82" s="12">
        <f>'Tiktok Raw Data'!C82</f>
        <v>1140</v>
      </c>
      <c r="F82" s="19">
        <f t="shared" si="3"/>
        <v>0.9070175439</v>
      </c>
      <c r="G82" s="19">
        <f t="shared" si="4"/>
        <v>24.02527999</v>
      </c>
      <c r="H82" s="19">
        <f>'Tiktok Raw Data'!D82</f>
        <v>1034</v>
      </c>
      <c r="I82" s="17">
        <f t="shared" si="5"/>
        <v>0.01578947368</v>
      </c>
      <c r="J82" s="20">
        <f>'Tiktok Raw Data'!E82</f>
        <v>18</v>
      </c>
      <c r="K82" s="19">
        <f t="shared" si="6"/>
        <v>151.8888889</v>
      </c>
      <c r="L82" s="19">
        <f>'Tiktok Raw Data'!F82</f>
        <v>2734</v>
      </c>
    </row>
    <row r="83">
      <c r="A83" s="11">
        <f>'Tiktok Raw Data'!A83</f>
        <v>45739</v>
      </c>
      <c r="B83" s="14">
        <f t="shared" si="1"/>
        <v>3</v>
      </c>
      <c r="C83" s="12">
        <f>'Tiktok Raw Data'!B83</f>
        <v>112277</v>
      </c>
      <c r="D83" s="17">
        <f t="shared" si="2"/>
        <v>0.01925594734</v>
      </c>
      <c r="E83" s="12">
        <f>'Tiktok Raw Data'!C83</f>
        <v>2162</v>
      </c>
      <c r="F83" s="19">
        <f t="shared" si="3"/>
        <v>0.8362627197</v>
      </c>
      <c r="G83" s="19">
        <f t="shared" si="4"/>
        <v>16.1030309</v>
      </c>
      <c r="H83" s="19">
        <f>'Tiktok Raw Data'!D83</f>
        <v>1808</v>
      </c>
      <c r="I83" s="17">
        <f t="shared" si="5"/>
        <v>0.01665124884</v>
      </c>
      <c r="J83" s="20">
        <f>'Tiktok Raw Data'!E83</f>
        <v>36</v>
      </c>
      <c r="K83" s="19">
        <f t="shared" si="6"/>
        <v>142.6111111</v>
      </c>
      <c r="L83" s="19">
        <f>'Tiktok Raw Data'!F83</f>
        <v>5134</v>
      </c>
    </row>
    <row r="84">
      <c r="A84" s="11">
        <f>'Tiktok Raw Data'!A84</f>
        <v>45740</v>
      </c>
      <c r="B84" s="14">
        <f t="shared" si="1"/>
        <v>3</v>
      </c>
      <c r="C84" s="12">
        <f>'Tiktok Raw Data'!B84</f>
        <v>19294</v>
      </c>
      <c r="D84" s="17">
        <f t="shared" si="2"/>
        <v>0.007359800974</v>
      </c>
      <c r="E84" s="12">
        <f>'Tiktok Raw Data'!C84</f>
        <v>142</v>
      </c>
      <c r="F84" s="19">
        <f t="shared" si="3"/>
        <v>1.176056338</v>
      </c>
      <c r="G84" s="19">
        <f t="shared" si="4"/>
        <v>8.655540583</v>
      </c>
      <c r="H84" s="19">
        <f>'Tiktok Raw Data'!D84</f>
        <v>167</v>
      </c>
      <c r="I84" s="17">
        <f t="shared" si="5"/>
        <v>0.007042253521</v>
      </c>
      <c r="J84" s="20">
        <f>'Tiktok Raw Data'!E84</f>
        <v>1</v>
      </c>
      <c r="K84" s="19">
        <f t="shared" si="6"/>
        <v>271</v>
      </c>
      <c r="L84" s="19">
        <f>'Tiktok Raw Data'!F84</f>
        <v>271</v>
      </c>
    </row>
    <row r="85">
      <c r="A85" s="11">
        <f>'Tiktok Raw Data'!A85</f>
        <v>45741</v>
      </c>
      <c r="B85" s="14">
        <f t="shared" si="1"/>
        <v>3</v>
      </c>
      <c r="C85" s="12">
        <f>'Tiktok Raw Data'!B85</f>
        <v>85477</v>
      </c>
      <c r="D85" s="17">
        <f t="shared" si="2"/>
        <v>0.02673233735</v>
      </c>
      <c r="E85" s="12">
        <f>'Tiktok Raw Data'!C85</f>
        <v>2285</v>
      </c>
      <c r="F85" s="19">
        <f t="shared" si="3"/>
        <v>1.13916849</v>
      </c>
      <c r="G85" s="19">
        <f t="shared" si="4"/>
        <v>30.45263638</v>
      </c>
      <c r="H85" s="19">
        <f>'Tiktok Raw Data'!D85</f>
        <v>2603</v>
      </c>
      <c r="I85" s="17">
        <f t="shared" si="5"/>
        <v>0.01794310722</v>
      </c>
      <c r="J85" s="20">
        <f>'Tiktok Raw Data'!E85</f>
        <v>41</v>
      </c>
      <c r="K85" s="19">
        <f t="shared" si="6"/>
        <v>114.3414634</v>
      </c>
      <c r="L85" s="19">
        <f>'Tiktok Raw Data'!F85</f>
        <v>4688</v>
      </c>
    </row>
    <row r="86">
      <c r="A86" s="11">
        <f>'Tiktok Raw Data'!A86</f>
        <v>45742</v>
      </c>
      <c r="B86" s="14">
        <f t="shared" si="1"/>
        <v>3</v>
      </c>
      <c r="C86" s="12">
        <f>'Tiktok Raw Data'!B86</f>
        <v>35785</v>
      </c>
      <c r="D86" s="17">
        <f t="shared" si="2"/>
        <v>0.01930976666</v>
      </c>
      <c r="E86" s="12">
        <f>'Tiktok Raw Data'!C86</f>
        <v>691</v>
      </c>
      <c r="F86" s="19">
        <f t="shared" si="3"/>
        <v>0.7626628075</v>
      </c>
      <c r="G86" s="19">
        <f t="shared" si="4"/>
        <v>14.72684086</v>
      </c>
      <c r="H86" s="19">
        <f>'Tiktok Raw Data'!D86</f>
        <v>527</v>
      </c>
      <c r="I86" s="17">
        <f t="shared" si="5"/>
        <v>0.02170767004</v>
      </c>
      <c r="J86" s="20">
        <f>'Tiktok Raw Data'!E86</f>
        <v>15</v>
      </c>
      <c r="K86" s="19">
        <f t="shared" si="6"/>
        <v>128</v>
      </c>
      <c r="L86" s="19">
        <f>'Tiktok Raw Data'!F86</f>
        <v>1920</v>
      </c>
    </row>
    <row r="87">
      <c r="A87" s="11">
        <f>'Tiktok Raw Data'!A87</f>
        <v>45743</v>
      </c>
      <c r="B87" s="14">
        <f t="shared" si="1"/>
        <v>3</v>
      </c>
      <c r="C87" s="12">
        <f>'Tiktok Raw Data'!B87</f>
        <v>91829</v>
      </c>
      <c r="D87" s="17">
        <f t="shared" si="2"/>
        <v>0.01476657701</v>
      </c>
      <c r="E87" s="12">
        <f>'Tiktok Raw Data'!C87</f>
        <v>1356</v>
      </c>
      <c r="F87" s="19">
        <f t="shared" si="3"/>
        <v>0.7625368732</v>
      </c>
      <c r="G87" s="19">
        <f t="shared" si="4"/>
        <v>11.26005946</v>
      </c>
      <c r="H87" s="19">
        <f>'Tiktok Raw Data'!D87</f>
        <v>1034</v>
      </c>
      <c r="I87" s="17">
        <f t="shared" si="5"/>
        <v>0.0191740413</v>
      </c>
      <c r="J87" s="20">
        <f>'Tiktok Raw Data'!E87</f>
        <v>26</v>
      </c>
      <c r="K87" s="19">
        <f t="shared" si="6"/>
        <v>132.6538462</v>
      </c>
      <c r="L87" s="19">
        <f>'Tiktok Raw Data'!F87</f>
        <v>3449</v>
      </c>
    </row>
    <row r="88">
      <c r="A88" s="11">
        <f>'Tiktok Raw Data'!A88</f>
        <v>45744</v>
      </c>
      <c r="B88" s="14">
        <f t="shared" si="1"/>
        <v>3</v>
      </c>
      <c r="C88" s="12">
        <f>'Tiktok Raw Data'!B88</f>
        <v>25201</v>
      </c>
      <c r="D88" s="17">
        <f t="shared" si="2"/>
        <v>0.01599142891</v>
      </c>
      <c r="E88" s="12">
        <f>'Tiktok Raw Data'!C88</f>
        <v>403</v>
      </c>
      <c r="F88" s="19">
        <f t="shared" si="3"/>
        <v>0.8213399504</v>
      </c>
      <c r="G88" s="19">
        <f t="shared" si="4"/>
        <v>13.13439943</v>
      </c>
      <c r="H88" s="19">
        <f>'Tiktok Raw Data'!D88</f>
        <v>331</v>
      </c>
      <c r="I88" s="17">
        <f t="shared" si="5"/>
        <v>0.01488833747</v>
      </c>
      <c r="J88" s="20">
        <f>'Tiktok Raw Data'!E88</f>
        <v>6</v>
      </c>
      <c r="K88" s="19">
        <f t="shared" si="6"/>
        <v>202.1666667</v>
      </c>
      <c r="L88" s="19">
        <f>'Tiktok Raw Data'!F88</f>
        <v>1213</v>
      </c>
    </row>
    <row r="89">
      <c r="A89" s="11">
        <f>'Tiktok Raw Data'!A89</f>
        <v>45745</v>
      </c>
      <c r="B89" s="14">
        <f t="shared" si="1"/>
        <v>3</v>
      </c>
      <c r="C89" s="12">
        <f>'Tiktok Raw Data'!B89</f>
        <v>83832</v>
      </c>
      <c r="D89" s="17">
        <f t="shared" si="2"/>
        <v>0.03385342113</v>
      </c>
      <c r="E89" s="12">
        <f>'Tiktok Raw Data'!C89</f>
        <v>2838</v>
      </c>
      <c r="F89" s="19">
        <f t="shared" si="3"/>
        <v>1.13812544</v>
      </c>
      <c r="G89" s="19">
        <f t="shared" si="4"/>
        <v>38.52943983</v>
      </c>
      <c r="H89" s="19">
        <f>'Tiktok Raw Data'!D89</f>
        <v>3230</v>
      </c>
      <c r="I89" s="17">
        <f t="shared" si="5"/>
        <v>0.01479915433</v>
      </c>
      <c r="J89" s="20">
        <f>'Tiktok Raw Data'!E89</f>
        <v>42</v>
      </c>
      <c r="K89" s="19">
        <f t="shared" si="6"/>
        <v>176.7380952</v>
      </c>
      <c r="L89" s="19">
        <f>'Tiktok Raw Data'!F89</f>
        <v>7423</v>
      </c>
    </row>
    <row r="90">
      <c r="A90" s="11">
        <f>'Tiktok Raw Data'!A90</f>
        <v>45746</v>
      </c>
      <c r="B90" s="14">
        <f t="shared" si="1"/>
        <v>3</v>
      </c>
      <c r="C90" s="12">
        <f>'Tiktok Raw Data'!B90</f>
        <v>65661</v>
      </c>
      <c r="D90" s="17">
        <f t="shared" si="2"/>
        <v>0.01475761868</v>
      </c>
      <c r="E90" s="12">
        <f>'Tiktok Raw Data'!C90</f>
        <v>969</v>
      </c>
      <c r="F90" s="19">
        <f t="shared" si="3"/>
        <v>0.7430340557</v>
      </c>
      <c r="G90" s="19">
        <f t="shared" si="4"/>
        <v>10.96541326</v>
      </c>
      <c r="H90" s="19">
        <f>'Tiktok Raw Data'!D90</f>
        <v>720</v>
      </c>
      <c r="I90" s="17">
        <f t="shared" si="5"/>
        <v>0.01547987616</v>
      </c>
      <c r="J90" s="20">
        <f>'Tiktok Raw Data'!E90</f>
        <v>15</v>
      </c>
      <c r="K90" s="19">
        <f t="shared" si="6"/>
        <v>114.8666667</v>
      </c>
      <c r="L90" s="19">
        <f>'Tiktok Raw Data'!F90</f>
        <v>1723</v>
      </c>
    </row>
    <row r="91">
      <c r="A91" s="11">
        <f>'Tiktok Raw Data'!A91</f>
        <v>45747</v>
      </c>
      <c r="B91" s="14">
        <f t="shared" si="1"/>
        <v>3</v>
      </c>
      <c r="C91" s="12">
        <f>'Tiktok Raw Data'!B91</f>
        <v>60497</v>
      </c>
      <c r="D91" s="17">
        <f t="shared" si="2"/>
        <v>0.01380233731</v>
      </c>
      <c r="E91" s="12">
        <f>'Tiktok Raw Data'!C91</f>
        <v>835</v>
      </c>
      <c r="F91" s="19">
        <f t="shared" si="3"/>
        <v>0.880239521</v>
      </c>
      <c r="G91" s="19">
        <f t="shared" si="4"/>
        <v>12.14936278</v>
      </c>
      <c r="H91" s="19">
        <f>'Tiktok Raw Data'!D91</f>
        <v>735</v>
      </c>
      <c r="I91" s="17">
        <f t="shared" si="5"/>
        <v>0.02155688623</v>
      </c>
      <c r="J91" s="20">
        <f>'Tiktok Raw Data'!E91</f>
        <v>18</v>
      </c>
      <c r="K91" s="19">
        <f t="shared" si="6"/>
        <v>120.1111111</v>
      </c>
      <c r="L91" s="19">
        <f>'Tiktok Raw Data'!F91</f>
        <v>2162</v>
      </c>
    </row>
    <row r="92">
      <c r="A92" s="11">
        <f>'Tiktok Raw Data'!A92</f>
        <v>45748</v>
      </c>
      <c r="B92" s="14">
        <f t="shared" si="1"/>
        <v>4</v>
      </c>
      <c r="C92" s="12">
        <f>'Tiktok Raw Data'!B92</f>
        <v>75083</v>
      </c>
      <c r="D92" s="17">
        <f t="shared" si="2"/>
        <v>0.02063050224</v>
      </c>
      <c r="E92" s="12">
        <f>'Tiktok Raw Data'!C92</f>
        <v>1549</v>
      </c>
      <c r="F92" s="19">
        <f t="shared" si="3"/>
        <v>0.8715300194</v>
      </c>
      <c r="G92" s="19">
        <f t="shared" si="4"/>
        <v>17.98010202</v>
      </c>
      <c r="H92" s="19">
        <f>'Tiktok Raw Data'!D92</f>
        <v>1350</v>
      </c>
      <c r="I92" s="17">
        <f t="shared" si="5"/>
        <v>0.01872175597</v>
      </c>
      <c r="J92" s="20">
        <f>'Tiktok Raw Data'!E92</f>
        <v>29</v>
      </c>
      <c r="K92" s="19">
        <f t="shared" si="6"/>
        <v>114.5862069</v>
      </c>
      <c r="L92" s="19">
        <f>'Tiktok Raw Data'!F92</f>
        <v>3323</v>
      </c>
    </row>
    <row r="93">
      <c r="A93" s="11">
        <f>'Tiktok Raw Data'!A93</f>
        <v>45749</v>
      </c>
      <c r="B93" s="14">
        <f t="shared" si="1"/>
        <v>4</v>
      </c>
      <c r="C93" s="12">
        <f>'Tiktok Raw Data'!B93</f>
        <v>106776</v>
      </c>
      <c r="D93" s="17">
        <f t="shared" si="2"/>
        <v>0.0222521915</v>
      </c>
      <c r="E93" s="12">
        <f>'Tiktok Raw Data'!C93</f>
        <v>2376</v>
      </c>
      <c r="F93" s="19">
        <f t="shared" si="3"/>
        <v>1.037878788</v>
      </c>
      <c r="G93" s="19">
        <f t="shared" si="4"/>
        <v>23.09507755</v>
      </c>
      <c r="H93" s="19">
        <f>'Tiktok Raw Data'!D93</f>
        <v>2466</v>
      </c>
      <c r="I93" s="17">
        <f t="shared" si="5"/>
        <v>0.02146464646</v>
      </c>
      <c r="J93" s="20">
        <f>'Tiktok Raw Data'!E93</f>
        <v>51</v>
      </c>
      <c r="K93" s="19">
        <f t="shared" si="6"/>
        <v>119.9411765</v>
      </c>
      <c r="L93" s="19">
        <f>'Tiktok Raw Data'!F93</f>
        <v>6117</v>
      </c>
    </row>
    <row r="94">
      <c r="A94" s="11">
        <f>'Tiktok Raw Data'!A94</f>
        <v>45750</v>
      </c>
      <c r="B94" s="14">
        <f t="shared" si="1"/>
        <v>4</v>
      </c>
      <c r="C94" s="12">
        <f>'Tiktok Raw Data'!B94</f>
        <v>38478</v>
      </c>
      <c r="D94" s="17">
        <f t="shared" si="2"/>
        <v>0.01023961744</v>
      </c>
      <c r="E94" s="12">
        <f>'Tiktok Raw Data'!C94</f>
        <v>394</v>
      </c>
      <c r="F94" s="19">
        <f t="shared" si="3"/>
        <v>1</v>
      </c>
      <c r="G94" s="19">
        <f t="shared" si="4"/>
        <v>10.23961744</v>
      </c>
      <c r="H94" s="19">
        <f>'Tiktok Raw Data'!D94</f>
        <v>394</v>
      </c>
      <c r="I94" s="17">
        <f t="shared" si="5"/>
        <v>0.01776649746</v>
      </c>
      <c r="J94" s="20">
        <f>'Tiktok Raw Data'!E94</f>
        <v>7</v>
      </c>
      <c r="K94" s="19">
        <f t="shared" si="6"/>
        <v>138.5714286</v>
      </c>
      <c r="L94" s="19">
        <f>'Tiktok Raw Data'!F94</f>
        <v>970</v>
      </c>
    </row>
    <row r="95">
      <c r="A95" s="11">
        <f>'Tiktok Raw Data'!A95</f>
        <v>45751</v>
      </c>
      <c r="B95" s="14">
        <f t="shared" si="1"/>
        <v>4</v>
      </c>
      <c r="C95" s="12">
        <f>'Tiktok Raw Data'!B95</f>
        <v>88425</v>
      </c>
      <c r="D95" s="17">
        <f t="shared" si="2"/>
        <v>0.03226463104</v>
      </c>
      <c r="E95" s="12">
        <f>'Tiktok Raw Data'!C95</f>
        <v>2853</v>
      </c>
      <c r="F95" s="19">
        <f t="shared" si="3"/>
        <v>0.8454258675</v>
      </c>
      <c r="G95" s="19">
        <f t="shared" si="4"/>
        <v>27.27735369</v>
      </c>
      <c r="H95" s="19">
        <f>'Tiktok Raw Data'!D95</f>
        <v>2412</v>
      </c>
      <c r="I95" s="17">
        <f t="shared" si="5"/>
        <v>0.02067998598</v>
      </c>
      <c r="J95" s="20">
        <f>'Tiktok Raw Data'!E95</f>
        <v>59</v>
      </c>
      <c r="K95" s="19">
        <f t="shared" si="6"/>
        <v>137.3559322</v>
      </c>
      <c r="L95" s="19">
        <f>'Tiktok Raw Data'!F95</f>
        <v>8104</v>
      </c>
    </row>
    <row r="96">
      <c r="A96" s="11">
        <f>'Tiktok Raw Data'!A96</f>
        <v>45752</v>
      </c>
      <c r="B96" s="14">
        <f t="shared" si="1"/>
        <v>4</v>
      </c>
      <c r="C96" s="12">
        <f>'Tiktok Raw Data'!B96</f>
        <v>29606</v>
      </c>
      <c r="D96" s="17">
        <f t="shared" si="2"/>
        <v>0.02033371614</v>
      </c>
      <c r="E96" s="12">
        <f>'Tiktok Raw Data'!C96</f>
        <v>602</v>
      </c>
      <c r="F96" s="19">
        <f t="shared" si="3"/>
        <v>0.9368770764</v>
      </c>
      <c r="G96" s="19">
        <f t="shared" si="4"/>
        <v>19.05019253</v>
      </c>
      <c r="H96" s="19">
        <f>'Tiktok Raw Data'!D96</f>
        <v>564</v>
      </c>
      <c r="I96" s="17">
        <f t="shared" si="5"/>
        <v>0.01328903654</v>
      </c>
      <c r="J96" s="20">
        <f>'Tiktok Raw Data'!E96</f>
        <v>8</v>
      </c>
      <c r="K96" s="19">
        <f t="shared" si="6"/>
        <v>117.75</v>
      </c>
      <c r="L96" s="19">
        <f>'Tiktok Raw Data'!F96</f>
        <v>942</v>
      </c>
    </row>
    <row r="97">
      <c r="A97" s="11">
        <f>'Tiktok Raw Data'!A97</f>
        <v>45753</v>
      </c>
      <c r="B97" s="14">
        <f t="shared" si="1"/>
        <v>4</v>
      </c>
      <c r="C97" s="12">
        <f>'Tiktok Raw Data'!B97</f>
        <v>110299</v>
      </c>
      <c r="D97" s="17">
        <f t="shared" si="2"/>
        <v>0.01846798248</v>
      </c>
      <c r="E97" s="12">
        <f>'Tiktok Raw Data'!C97</f>
        <v>2037</v>
      </c>
      <c r="F97" s="19">
        <f t="shared" si="3"/>
        <v>1.156602847</v>
      </c>
      <c r="G97" s="19">
        <f t="shared" si="4"/>
        <v>21.36012113</v>
      </c>
      <c r="H97" s="19">
        <f>'Tiktok Raw Data'!D97</f>
        <v>2356</v>
      </c>
      <c r="I97" s="17">
        <f t="shared" si="5"/>
        <v>0.01816396662</v>
      </c>
      <c r="J97" s="20">
        <f>'Tiktok Raw Data'!E97</f>
        <v>37</v>
      </c>
      <c r="K97" s="19">
        <f t="shared" si="6"/>
        <v>164.2432432</v>
      </c>
      <c r="L97" s="19">
        <f>'Tiktok Raw Data'!F97</f>
        <v>6077</v>
      </c>
    </row>
    <row r="98">
      <c r="A98" s="11">
        <f>'Tiktok Raw Data'!A98</f>
        <v>45754</v>
      </c>
      <c r="B98" s="14">
        <f t="shared" si="1"/>
        <v>4</v>
      </c>
      <c r="C98" s="12">
        <f>'Tiktok Raw Data'!B98</f>
        <v>95139</v>
      </c>
      <c r="D98" s="17">
        <f t="shared" si="2"/>
        <v>0.02949368818</v>
      </c>
      <c r="E98" s="12">
        <f>'Tiktok Raw Data'!C98</f>
        <v>2806</v>
      </c>
      <c r="F98" s="19">
        <f t="shared" si="3"/>
        <v>1.090876693</v>
      </c>
      <c r="G98" s="19">
        <f t="shared" si="4"/>
        <v>32.17397702</v>
      </c>
      <c r="H98" s="19">
        <f>'Tiktok Raw Data'!D98</f>
        <v>3061</v>
      </c>
      <c r="I98" s="17">
        <f t="shared" si="5"/>
        <v>0.01817533856</v>
      </c>
      <c r="J98" s="20">
        <f>'Tiktok Raw Data'!E98</f>
        <v>51</v>
      </c>
      <c r="K98" s="19">
        <f t="shared" si="6"/>
        <v>145.6862745</v>
      </c>
      <c r="L98" s="19">
        <f>'Tiktok Raw Data'!F98</f>
        <v>7430</v>
      </c>
    </row>
    <row r="99">
      <c r="A99" s="11">
        <f>'Tiktok Raw Data'!A99</f>
        <v>45755</v>
      </c>
      <c r="B99" s="14">
        <f t="shared" si="1"/>
        <v>4</v>
      </c>
      <c r="C99" s="12">
        <f>'Tiktok Raw Data'!B99</f>
        <v>102095</v>
      </c>
      <c r="D99" s="17">
        <f t="shared" si="2"/>
        <v>0.02301777756</v>
      </c>
      <c r="E99" s="12">
        <f>'Tiktok Raw Data'!C99</f>
        <v>2350</v>
      </c>
      <c r="F99" s="19">
        <f t="shared" si="3"/>
        <v>1.235744681</v>
      </c>
      <c r="G99" s="19">
        <f t="shared" si="4"/>
        <v>28.44409618</v>
      </c>
      <c r="H99" s="19">
        <f>'Tiktok Raw Data'!D99</f>
        <v>2904</v>
      </c>
      <c r="I99" s="17">
        <f t="shared" si="5"/>
        <v>0.01574468085</v>
      </c>
      <c r="J99" s="20">
        <f>'Tiktok Raw Data'!E99</f>
        <v>37</v>
      </c>
      <c r="K99" s="19">
        <f t="shared" si="6"/>
        <v>187.0810811</v>
      </c>
      <c r="L99" s="19">
        <f>'Tiktok Raw Data'!F99</f>
        <v>6922</v>
      </c>
    </row>
    <row r="100">
      <c r="A100" s="11">
        <f>'Tiktok Raw Data'!A100</f>
        <v>45756</v>
      </c>
      <c r="B100" s="14">
        <f t="shared" si="1"/>
        <v>4</v>
      </c>
      <c r="C100" s="12">
        <f>'Tiktok Raw Data'!B100</f>
        <v>66319</v>
      </c>
      <c r="D100" s="17">
        <f t="shared" si="2"/>
        <v>0.01188196444</v>
      </c>
      <c r="E100" s="12">
        <f>'Tiktok Raw Data'!C100</f>
        <v>788</v>
      </c>
      <c r="F100" s="19">
        <f t="shared" si="3"/>
        <v>0.8616751269</v>
      </c>
      <c r="G100" s="19">
        <f t="shared" si="4"/>
        <v>10.23839322</v>
      </c>
      <c r="H100" s="19">
        <f>'Tiktok Raw Data'!D100</f>
        <v>679</v>
      </c>
      <c r="I100" s="17">
        <f t="shared" si="5"/>
        <v>0.01903553299</v>
      </c>
      <c r="J100" s="20">
        <f>'Tiktok Raw Data'!E100</f>
        <v>15</v>
      </c>
      <c r="K100" s="19">
        <f t="shared" si="6"/>
        <v>115.8</v>
      </c>
      <c r="L100" s="19">
        <f>'Tiktok Raw Data'!F100</f>
        <v>1737</v>
      </c>
    </row>
    <row r="101">
      <c r="A101" s="11">
        <f>'Tiktok Raw Data'!A101</f>
        <v>45757</v>
      </c>
      <c r="B101" s="14">
        <f t="shared" si="1"/>
        <v>4</v>
      </c>
      <c r="C101" s="12">
        <f>'Tiktok Raw Data'!B101</f>
        <v>64829</v>
      </c>
      <c r="D101" s="17">
        <f t="shared" si="2"/>
        <v>0.01756929769</v>
      </c>
      <c r="E101" s="12">
        <f>'Tiktok Raw Data'!C101</f>
        <v>1139</v>
      </c>
      <c r="F101" s="19">
        <f t="shared" si="3"/>
        <v>0.8446005268</v>
      </c>
      <c r="G101" s="19">
        <f t="shared" si="4"/>
        <v>14.83903808</v>
      </c>
      <c r="H101" s="19">
        <f>'Tiktok Raw Data'!D101</f>
        <v>962</v>
      </c>
      <c r="I101" s="17">
        <f t="shared" si="5"/>
        <v>0.01316944688</v>
      </c>
      <c r="J101" s="20">
        <f>'Tiktok Raw Data'!E101</f>
        <v>15</v>
      </c>
      <c r="K101" s="19">
        <f t="shared" si="6"/>
        <v>138.4666667</v>
      </c>
      <c r="L101" s="19">
        <f>'Tiktok Raw Data'!F101</f>
        <v>2077</v>
      </c>
    </row>
    <row r="102">
      <c r="A102" s="11">
        <f>'Tiktok Raw Data'!A102</f>
        <v>45758</v>
      </c>
      <c r="B102" s="14">
        <f t="shared" si="1"/>
        <v>4</v>
      </c>
      <c r="C102" s="12">
        <f>'Tiktok Raw Data'!B102</f>
        <v>77950</v>
      </c>
      <c r="D102" s="17">
        <f t="shared" si="2"/>
        <v>0.03363694676</v>
      </c>
      <c r="E102" s="12">
        <f>'Tiktok Raw Data'!C102</f>
        <v>2622</v>
      </c>
      <c r="F102" s="19">
        <f t="shared" si="3"/>
        <v>0.8783371472</v>
      </c>
      <c r="G102" s="19">
        <f t="shared" si="4"/>
        <v>29.54457986</v>
      </c>
      <c r="H102" s="19">
        <f>'Tiktok Raw Data'!D102</f>
        <v>2303</v>
      </c>
      <c r="I102" s="17">
        <f t="shared" si="5"/>
        <v>0.01678108314</v>
      </c>
      <c r="J102" s="20">
        <f>'Tiktok Raw Data'!E102</f>
        <v>44</v>
      </c>
      <c r="K102" s="19">
        <f t="shared" si="6"/>
        <v>186.7727273</v>
      </c>
      <c r="L102" s="19">
        <f>'Tiktok Raw Data'!F102</f>
        <v>8218</v>
      </c>
    </row>
    <row r="103">
      <c r="A103" s="11">
        <f>'Tiktok Raw Data'!A103</f>
        <v>45759</v>
      </c>
      <c r="B103" s="14">
        <f t="shared" si="1"/>
        <v>4</v>
      </c>
      <c r="C103" s="12">
        <f>'Tiktok Raw Data'!B103</f>
        <v>109882</v>
      </c>
      <c r="D103" s="17">
        <f t="shared" si="2"/>
        <v>0.02016708833</v>
      </c>
      <c r="E103" s="12">
        <f>'Tiktok Raw Data'!C103</f>
        <v>2216</v>
      </c>
      <c r="F103" s="19">
        <f t="shared" si="3"/>
        <v>0.6827617329</v>
      </c>
      <c r="G103" s="19">
        <f t="shared" si="4"/>
        <v>13.76931618</v>
      </c>
      <c r="H103" s="19">
        <f>'Tiktok Raw Data'!D103</f>
        <v>1513</v>
      </c>
      <c r="I103" s="17">
        <f t="shared" si="5"/>
        <v>0.01128158845</v>
      </c>
      <c r="J103" s="20">
        <f>'Tiktok Raw Data'!E103</f>
        <v>25</v>
      </c>
      <c r="K103" s="19">
        <f t="shared" si="6"/>
        <v>119.96</v>
      </c>
      <c r="L103" s="19">
        <f>'Tiktok Raw Data'!F103</f>
        <v>2999</v>
      </c>
    </row>
    <row r="104">
      <c r="A104" s="11">
        <f>'Tiktok Raw Data'!A104</f>
        <v>45760</v>
      </c>
      <c r="B104" s="14">
        <f t="shared" si="1"/>
        <v>4</v>
      </c>
      <c r="C104" s="12">
        <f>'Tiktok Raw Data'!B104</f>
        <v>30168</v>
      </c>
      <c r="D104" s="17">
        <f t="shared" si="2"/>
        <v>0.0177008751</v>
      </c>
      <c r="E104" s="12">
        <f>'Tiktok Raw Data'!C104</f>
        <v>534</v>
      </c>
      <c r="F104" s="19">
        <f t="shared" si="3"/>
        <v>1.076779026</v>
      </c>
      <c r="G104" s="19">
        <f t="shared" si="4"/>
        <v>19.05993105</v>
      </c>
      <c r="H104" s="19">
        <f>'Tiktok Raw Data'!D104</f>
        <v>575</v>
      </c>
      <c r="I104" s="17">
        <f t="shared" si="5"/>
        <v>0.01310861423</v>
      </c>
      <c r="J104" s="20">
        <f>'Tiktok Raw Data'!E104</f>
        <v>7</v>
      </c>
      <c r="K104" s="19">
        <f t="shared" si="6"/>
        <v>164.1428571</v>
      </c>
      <c r="L104" s="19">
        <f>'Tiktok Raw Data'!F104</f>
        <v>1149</v>
      </c>
    </row>
    <row r="105">
      <c r="A105" s="11">
        <f>'Tiktok Raw Data'!A105</f>
        <v>45761</v>
      </c>
      <c r="B105" s="14">
        <f t="shared" si="1"/>
        <v>4</v>
      </c>
      <c r="C105" s="12">
        <f>'Tiktok Raw Data'!B105</f>
        <v>87700</v>
      </c>
      <c r="D105" s="17">
        <f t="shared" si="2"/>
        <v>0.01383124287</v>
      </c>
      <c r="E105" s="12">
        <f>'Tiktok Raw Data'!C105</f>
        <v>1213</v>
      </c>
      <c r="F105" s="19">
        <f t="shared" si="3"/>
        <v>0.933223413</v>
      </c>
      <c r="G105" s="19">
        <f t="shared" si="4"/>
        <v>12.90763968</v>
      </c>
      <c r="H105" s="19">
        <f>'Tiktok Raw Data'!D105</f>
        <v>1132</v>
      </c>
      <c r="I105" s="17">
        <f t="shared" si="5"/>
        <v>0.02225886232</v>
      </c>
      <c r="J105" s="20">
        <f>'Tiktok Raw Data'!E105</f>
        <v>27</v>
      </c>
      <c r="K105" s="19">
        <f t="shared" si="6"/>
        <v>161.8148148</v>
      </c>
      <c r="L105" s="19">
        <f>'Tiktok Raw Data'!F105</f>
        <v>4369</v>
      </c>
    </row>
    <row r="106">
      <c r="A106" s="11">
        <f>'Tiktok Raw Data'!A106</f>
        <v>45762</v>
      </c>
      <c r="B106" s="14">
        <f t="shared" si="1"/>
        <v>4</v>
      </c>
      <c r="C106" s="12">
        <f>'Tiktok Raw Data'!B106</f>
        <v>97251</v>
      </c>
      <c r="D106" s="17">
        <f t="shared" si="2"/>
        <v>0.02669381292</v>
      </c>
      <c r="E106" s="12">
        <f>'Tiktok Raw Data'!C106</f>
        <v>2596</v>
      </c>
      <c r="F106" s="19">
        <f t="shared" si="3"/>
        <v>1.295069337</v>
      </c>
      <c r="G106" s="19">
        <f t="shared" si="4"/>
        <v>34.57033861</v>
      </c>
      <c r="H106" s="19">
        <f>'Tiktok Raw Data'!D106</f>
        <v>3362</v>
      </c>
      <c r="I106" s="17">
        <f t="shared" si="5"/>
        <v>0.01579352851</v>
      </c>
      <c r="J106" s="20">
        <f>'Tiktok Raw Data'!E106</f>
        <v>41</v>
      </c>
      <c r="K106" s="19">
        <f t="shared" si="6"/>
        <v>200.4146341</v>
      </c>
      <c r="L106" s="19">
        <f>'Tiktok Raw Data'!F106</f>
        <v>8217</v>
      </c>
    </row>
    <row r="107">
      <c r="A107" s="11">
        <f>'Tiktok Raw Data'!A107</f>
        <v>45763</v>
      </c>
      <c r="B107" s="14">
        <f t="shared" si="1"/>
        <v>4</v>
      </c>
      <c r="C107" s="12">
        <f>'Tiktok Raw Data'!B107</f>
        <v>34338</v>
      </c>
      <c r="D107" s="17">
        <f t="shared" si="2"/>
        <v>0.01362921545</v>
      </c>
      <c r="E107" s="12">
        <f>'Tiktok Raw Data'!C107</f>
        <v>468</v>
      </c>
      <c r="F107" s="19">
        <f t="shared" si="3"/>
        <v>0.6239316239</v>
      </c>
      <c r="G107" s="19">
        <f t="shared" si="4"/>
        <v>8.503698526</v>
      </c>
      <c r="H107" s="19">
        <f>'Tiktok Raw Data'!D107</f>
        <v>292</v>
      </c>
      <c r="I107" s="17">
        <f t="shared" si="5"/>
        <v>0.02136752137</v>
      </c>
      <c r="J107" s="20">
        <f>'Tiktok Raw Data'!E107</f>
        <v>10</v>
      </c>
      <c r="K107" s="19">
        <f t="shared" si="6"/>
        <v>168.6</v>
      </c>
      <c r="L107" s="19">
        <f>'Tiktok Raw Data'!F107</f>
        <v>1686</v>
      </c>
    </row>
    <row r="108">
      <c r="A108" s="11">
        <f>'Tiktok Raw Data'!A108</f>
        <v>45764</v>
      </c>
      <c r="B108" s="14">
        <f t="shared" si="1"/>
        <v>4</v>
      </c>
      <c r="C108" s="12">
        <f>'Tiktok Raw Data'!B108</f>
        <v>97838</v>
      </c>
      <c r="D108" s="17">
        <f t="shared" si="2"/>
        <v>0.01213230033</v>
      </c>
      <c r="E108" s="12">
        <f>'Tiktok Raw Data'!C108</f>
        <v>1187</v>
      </c>
      <c r="F108" s="19">
        <f t="shared" si="3"/>
        <v>1.364785173</v>
      </c>
      <c r="G108" s="19">
        <f t="shared" si="4"/>
        <v>16.55798361</v>
      </c>
      <c r="H108" s="19">
        <f>'Tiktok Raw Data'!D108</f>
        <v>1620</v>
      </c>
      <c r="I108" s="17">
        <f t="shared" si="5"/>
        <v>0.02190395956</v>
      </c>
      <c r="J108" s="20">
        <f>'Tiktok Raw Data'!E108</f>
        <v>26</v>
      </c>
      <c r="K108" s="19">
        <f t="shared" si="6"/>
        <v>175.1153846</v>
      </c>
      <c r="L108" s="19">
        <f>'Tiktok Raw Data'!F108</f>
        <v>4553</v>
      </c>
    </row>
    <row r="109">
      <c r="A109" s="11">
        <f>'Tiktok Raw Data'!A109</f>
        <v>45765</v>
      </c>
      <c r="B109" s="14">
        <f t="shared" si="1"/>
        <v>4</v>
      </c>
      <c r="C109" s="12">
        <f>'Tiktok Raw Data'!B109</f>
        <v>111480</v>
      </c>
      <c r="D109" s="17">
        <f t="shared" si="2"/>
        <v>0.02142088267</v>
      </c>
      <c r="E109" s="12">
        <f>'Tiktok Raw Data'!C109</f>
        <v>2388</v>
      </c>
      <c r="F109" s="19">
        <f t="shared" si="3"/>
        <v>0.8094639866</v>
      </c>
      <c r="G109" s="19">
        <f t="shared" si="4"/>
        <v>17.33943308</v>
      </c>
      <c r="H109" s="19">
        <f>'Tiktok Raw Data'!D109</f>
        <v>1933</v>
      </c>
      <c r="I109" s="17">
        <f t="shared" si="5"/>
        <v>0.02261306533</v>
      </c>
      <c r="J109" s="20">
        <f>'Tiktok Raw Data'!E109</f>
        <v>54</v>
      </c>
      <c r="K109" s="19">
        <f t="shared" si="6"/>
        <v>143.4074074</v>
      </c>
      <c r="L109" s="19">
        <f>'Tiktok Raw Data'!F109</f>
        <v>7744</v>
      </c>
    </row>
    <row r="110">
      <c r="A110" s="11">
        <f>'Tiktok Raw Data'!A110</f>
        <v>45766</v>
      </c>
      <c r="B110" s="14">
        <f t="shared" si="1"/>
        <v>4</v>
      </c>
      <c r="C110" s="12">
        <f>'Tiktok Raw Data'!B110</f>
        <v>31279</v>
      </c>
      <c r="D110" s="17">
        <f t="shared" si="2"/>
        <v>0.01611304709</v>
      </c>
      <c r="E110" s="12">
        <f>'Tiktok Raw Data'!C110</f>
        <v>504</v>
      </c>
      <c r="F110" s="19">
        <f t="shared" si="3"/>
        <v>1.180555556</v>
      </c>
      <c r="G110" s="19">
        <f t="shared" si="4"/>
        <v>19.02234726</v>
      </c>
      <c r="H110" s="19">
        <f>'Tiktok Raw Data'!D110</f>
        <v>595</v>
      </c>
      <c r="I110" s="17">
        <f t="shared" si="5"/>
        <v>0.009920634921</v>
      </c>
      <c r="J110" s="20">
        <f>'Tiktok Raw Data'!E110</f>
        <v>5</v>
      </c>
      <c r="K110" s="19">
        <f t="shared" si="6"/>
        <v>166.4</v>
      </c>
      <c r="L110" s="19">
        <f>'Tiktok Raw Data'!F110</f>
        <v>832</v>
      </c>
    </row>
    <row r="111">
      <c r="A111" s="11">
        <f>'Tiktok Raw Data'!A111</f>
        <v>45767</v>
      </c>
      <c r="B111" s="14">
        <f t="shared" si="1"/>
        <v>4</v>
      </c>
      <c r="C111" s="12">
        <f>'Tiktok Raw Data'!B111</f>
        <v>50596</v>
      </c>
      <c r="D111" s="17">
        <f t="shared" si="2"/>
        <v>0.01784726065</v>
      </c>
      <c r="E111" s="12">
        <f>'Tiktok Raw Data'!C111</f>
        <v>903</v>
      </c>
      <c r="F111" s="19">
        <f t="shared" si="3"/>
        <v>1.026578073</v>
      </c>
      <c r="G111" s="19">
        <f t="shared" si="4"/>
        <v>18.32160645</v>
      </c>
      <c r="H111" s="19">
        <f>'Tiktok Raw Data'!D111</f>
        <v>927</v>
      </c>
      <c r="I111" s="17">
        <f t="shared" si="5"/>
        <v>0.02325581395</v>
      </c>
      <c r="J111" s="20">
        <f>'Tiktok Raw Data'!E111</f>
        <v>21</v>
      </c>
      <c r="K111" s="19">
        <f t="shared" si="6"/>
        <v>180</v>
      </c>
      <c r="L111" s="19">
        <f>'Tiktok Raw Data'!F111</f>
        <v>3780</v>
      </c>
    </row>
    <row r="112">
      <c r="A112" s="11">
        <f>'Tiktok Raw Data'!A112</f>
        <v>45768</v>
      </c>
      <c r="B112" s="14">
        <f t="shared" si="1"/>
        <v>4</v>
      </c>
      <c r="C112" s="12">
        <f>'Tiktok Raw Data'!B112</f>
        <v>100697</v>
      </c>
      <c r="D112" s="17">
        <f t="shared" si="2"/>
        <v>0.02675352791</v>
      </c>
      <c r="E112" s="12">
        <f>'Tiktok Raw Data'!C112</f>
        <v>2694</v>
      </c>
      <c r="F112" s="19">
        <f t="shared" si="3"/>
        <v>1.085003712</v>
      </c>
      <c r="G112" s="19">
        <f t="shared" si="4"/>
        <v>29.02767709</v>
      </c>
      <c r="H112" s="19">
        <f>'Tiktok Raw Data'!D112</f>
        <v>2923</v>
      </c>
      <c r="I112" s="17">
        <f t="shared" si="5"/>
        <v>0.02561247216</v>
      </c>
      <c r="J112" s="20">
        <f>'Tiktok Raw Data'!E112</f>
        <v>69</v>
      </c>
      <c r="K112" s="19">
        <f t="shared" si="6"/>
        <v>163.5362319</v>
      </c>
      <c r="L112" s="19">
        <f>'Tiktok Raw Data'!F112</f>
        <v>11284</v>
      </c>
    </row>
    <row r="113">
      <c r="A113" s="11">
        <f>'Tiktok Raw Data'!A113</f>
        <v>45769</v>
      </c>
      <c r="B113" s="14">
        <f t="shared" si="1"/>
        <v>4</v>
      </c>
      <c r="C113" s="12">
        <f>'Tiktok Raw Data'!B113</f>
        <v>102536</v>
      </c>
      <c r="D113" s="17">
        <f t="shared" si="2"/>
        <v>0.02295779043</v>
      </c>
      <c r="E113" s="12">
        <f>'Tiktok Raw Data'!C113</f>
        <v>2354</v>
      </c>
      <c r="F113" s="19">
        <f t="shared" si="3"/>
        <v>1.18988955</v>
      </c>
      <c r="G113" s="19">
        <f t="shared" si="4"/>
        <v>27.31723492</v>
      </c>
      <c r="H113" s="19">
        <f>'Tiktok Raw Data'!D113</f>
        <v>2801</v>
      </c>
      <c r="I113" s="17">
        <f t="shared" si="5"/>
        <v>0.0152931181</v>
      </c>
      <c r="J113" s="20">
        <f>'Tiktok Raw Data'!E113</f>
        <v>36</v>
      </c>
      <c r="K113" s="19">
        <f t="shared" si="6"/>
        <v>160.0833333</v>
      </c>
      <c r="L113" s="19">
        <f>'Tiktok Raw Data'!F113</f>
        <v>5763</v>
      </c>
    </row>
    <row r="114">
      <c r="A114" s="11">
        <f>'Tiktok Raw Data'!A114</f>
        <v>45770</v>
      </c>
      <c r="B114" s="14">
        <f t="shared" si="1"/>
        <v>4</v>
      </c>
      <c r="C114" s="12">
        <f>'Tiktok Raw Data'!B114</f>
        <v>89706</v>
      </c>
      <c r="D114" s="17">
        <f t="shared" si="2"/>
        <v>0.03123536887</v>
      </c>
      <c r="E114" s="12">
        <f>'Tiktok Raw Data'!C114</f>
        <v>2802</v>
      </c>
      <c r="F114" s="19">
        <f t="shared" si="3"/>
        <v>0.5478229836</v>
      </c>
      <c r="G114" s="19">
        <f t="shared" si="4"/>
        <v>17.11145297</v>
      </c>
      <c r="H114" s="19">
        <f>'Tiktok Raw Data'!D114</f>
        <v>1535</v>
      </c>
      <c r="I114" s="17">
        <f t="shared" si="5"/>
        <v>0.01855817273</v>
      </c>
      <c r="J114" s="20">
        <f>'Tiktok Raw Data'!E114</f>
        <v>52</v>
      </c>
      <c r="K114" s="19">
        <f t="shared" si="6"/>
        <v>148.5384615</v>
      </c>
      <c r="L114" s="19">
        <f>'Tiktok Raw Data'!F114</f>
        <v>7724</v>
      </c>
    </row>
    <row r="115">
      <c r="A115" s="11">
        <f>'Tiktok Raw Data'!A115</f>
        <v>45771</v>
      </c>
      <c r="B115" s="14">
        <f t="shared" si="1"/>
        <v>4</v>
      </c>
      <c r="C115" s="12">
        <f>'Tiktok Raw Data'!B115</f>
        <v>101868</v>
      </c>
      <c r="D115" s="17">
        <f t="shared" si="2"/>
        <v>0.01158361802</v>
      </c>
      <c r="E115" s="12">
        <f>'Tiktok Raw Data'!C115</f>
        <v>1180</v>
      </c>
      <c r="F115" s="19">
        <f t="shared" si="3"/>
        <v>1.463559322</v>
      </c>
      <c r="G115" s="19">
        <f t="shared" si="4"/>
        <v>16.95331213</v>
      </c>
      <c r="H115" s="19">
        <f>'Tiktok Raw Data'!D115</f>
        <v>1727</v>
      </c>
      <c r="I115" s="17">
        <f t="shared" si="5"/>
        <v>0.02457627119</v>
      </c>
      <c r="J115" s="20">
        <f>'Tiktok Raw Data'!E115</f>
        <v>29</v>
      </c>
      <c r="K115" s="19">
        <f t="shared" si="6"/>
        <v>156</v>
      </c>
      <c r="L115" s="19">
        <f>'Tiktok Raw Data'!F115</f>
        <v>4524</v>
      </c>
    </row>
    <row r="116">
      <c r="A116" s="11">
        <f>'Tiktok Raw Data'!A116</f>
        <v>45772</v>
      </c>
      <c r="B116" s="14">
        <f t="shared" si="1"/>
        <v>4</v>
      </c>
      <c r="C116" s="12">
        <f>'Tiktok Raw Data'!B116</f>
        <v>51639</v>
      </c>
      <c r="D116" s="17">
        <f t="shared" si="2"/>
        <v>0.02637541393</v>
      </c>
      <c r="E116" s="12">
        <f>'Tiktok Raw Data'!C116</f>
        <v>1362</v>
      </c>
      <c r="F116" s="19">
        <f t="shared" si="3"/>
        <v>1.205580029</v>
      </c>
      <c r="G116" s="19">
        <f t="shared" si="4"/>
        <v>31.7976723</v>
      </c>
      <c r="H116" s="19">
        <f>'Tiktok Raw Data'!D116</f>
        <v>1642</v>
      </c>
      <c r="I116" s="17">
        <f t="shared" si="5"/>
        <v>0.02055800294</v>
      </c>
      <c r="J116" s="20">
        <f>'Tiktok Raw Data'!E116</f>
        <v>28</v>
      </c>
      <c r="K116" s="19">
        <f t="shared" si="6"/>
        <v>202.4642857</v>
      </c>
      <c r="L116" s="19">
        <f>'Tiktok Raw Data'!F116</f>
        <v>5669</v>
      </c>
    </row>
    <row r="117">
      <c r="A117" s="11">
        <f>'Tiktok Raw Data'!A117</f>
        <v>45773</v>
      </c>
      <c r="B117" s="14">
        <f t="shared" si="1"/>
        <v>4</v>
      </c>
      <c r="C117" s="12">
        <f>'Tiktok Raw Data'!B117</f>
        <v>84816</v>
      </c>
      <c r="D117" s="17">
        <f t="shared" si="2"/>
        <v>0.01484389738</v>
      </c>
      <c r="E117" s="12">
        <f>'Tiktok Raw Data'!C117</f>
        <v>1259</v>
      </c>
      <c r="F117" s="19">
        <f t="shared" si="3"/>
        <v>1.114376489</v>
      </c>
      <c r="G117" s="19">
        <f t="shared" si="4"/>
        <v>16.54169025</v>
      </c>
      <c r="H117" s="19">
        <f>'Tiktok Raw Data'!D117</f>
        <v>1403</v>
      </c>
      <c r="I117" s="17">
        <f t="shared" si="5"/>
        <v>0.02144559174</v>
      </c>
      <c r="J117" s="20">
        <f>'Tiktok Raw Data'!E117</f>
        <v>27</v>
      </c>
      <c r="K117" s="19">
        <f t="shared" si="6"/>
        <v>171.4814815</v>
      </c>
      <c r="L117" s="19">
        <f>'Tiktok Raw Data'!F117</f>
        <v>4630</v>
      </c>
    </row>
    <row r="118">
      <c r="A118" s="11">
        <f>'Tiktok Raw Data'!A118</f>
        <v>45774</v>
      </c>
      <c r="B118" s="14">
        <f t="shared" si="1"/>
        <v>4</v>
      </c>
      <c r="C118" s="12">
        <f>'Tiktok Raw Data'!B118</f>
        <v>39447</v>
      </c>
      <c r="D118" s="17">
        <f t="shared" si="2"/>
        <v>0.01662990848</v>
      </c>
      <c r="E118" s="12">
        <f>'Tiktok Raw Data'!C118</f>
        <v>656</v>
      </c>
      <c r="F118" s="19">
        <f t="shared" si="3"/>
        <v>1.173780488</v>
      </c>
      <c r="G118" s="19">
        <f t="shared" si="4"/>
        <v>19.51986209</v>
      </c>
      <c r="H118" s="19">
        <f>'Tiktok Raw Data'!D118</f>
        <v>770</v>
      </c>
      <c r="I118" s="17">
        <f t="shared" si="5"/>
        <v>0.01676829268</v>
      </c>
      <c r="J118" s="20">
        <f>'Tiktok Raw Data'!E118</f>
        <v>11</v>
      </c>
      <c r="K118" s="19">
        <f t="shared" si="6"/>
        <v>137.0909091</v>
      </c>
      <c r="L118" s="19">
        <f>'Tiktok Raw Data'!F118</f>
        <v>1508</v>
      </c>
    </row>
    <row r="119">
      <c r="A119" s="11">
        <f>'Tiktok Raw Data'!A119</f>
        <v>45775</v>
      </c>
      <c r="B119" s="14">
        <f t="shared" si="1"/>
        <v>4</v>
      </c>
      <c r="C119" s="12">
        <f>'Tiktok Raw Data'!B119</f>
        <v>76707</v>
      </c>
      <c r="D119" s="17">
        <f t="shared" si="2"/>
        <v>0.01145918886</v>
      </c>
      <c r="E119" s="12">
        <f>'Tiktok Raw Data'!C119</f>
        <v>879</v>
      </c>
      <c r="F119" s="19">
        <f t="shared" si="3"/>
        <v>0.8339021615</v>
      </c>
      <c r="G119" s="19">
        <f t="shared" si="4"/>
        <v>9.555842361</v>
      </c>
      <c r="H119" s="19">
        <f>'Tiktok Raw Data'!D119</f>
        <v>733</v>
      </c>
      <c r="I119" s="17">
        <f t="shared" si="5"/>
        <v>0.01934015927</v>
      </c>
      <c r="J119" s="20">
        <f>'Tiktok Raw Data'!E119</f>
        <v>17</v>
      </c>
      <c r="K119" s="19">
        <f t="shared" si="6"/>
        <v>173.7647059</v>
      </c>
      <c r="L119" s="19">
        <f>'Tiktok Raw Data'!F119</f>
        <v>2954</v>
      </c>
    </row>
    <row r="120">
      <c r="A120" s="11">
        <f>'Tiktok Raw Data'!A120</f>
        <v>45776</v>
      </c>
      <c r="B120" s="14">
        <f t="shared" si="1"/>
        <v>4</v>
      </c>
      <c r="C120" s="12">
        <f>'Tiktok Raw Data'!B120</f>
        <v>53101</v>
      </c>
      <c r="D120" s="17">
        <f t="shared" si="2"/>
        <v>0.0187002128</v>
      </c>
      <c r="E120" s="12">
        <f>'Tiktok Raw Data'!C120</f>
        <v>993</v>
      </c>
      <c r="F120" s="19">
        <f t="shared" si="3"/>
        <v>0.8358509567</v>
      </c>
      <c r="G120" s="19">
        <f t="shared" si="4"/>
        <v>15.63059076</v>
      </c>
      <c r="H120" s="19">
        <f>'Tiktok Raw Data'!D120</f>
        <v>830</v>
      </c>
      <c r="I120" s="17">
        <f t="shared" si="5"/>
        <v>0.01913393756</v>
      </c>
      <c r="J120" s="20">
        <f>'Tiktok Raw Data'!E120</f>
        <v>19</v>
      </c>
      <c r="K120" s="19">
        <f t="shared" si="6"/>
        <v>145.8421053</v>
      </c>
      <c r="L120" s="19">
        <f>'Tiktok Raw Data'!F120</f>
        <v>2771</v>
      </c>
    </row>
    <row r="121">
      <c r="A121" s="11">
        <f>'Tiktok Raw Data'!A121</f>
        <v>45777</v>
      </c>
      <c r="B121" s="14">
        <f t="shared" si="1"/>
        <v>4</v>
      </c>
      <c r="C121" s="12">
        <f>'Tiktok Raw Data'!B121</f>
        <v>76471</v>
      </c>
      <c r="D121" s="17">
        <f t="shared" si="2"/>
        <v>0.02217834212</v>
      </c>
      <c r="E121" s="12">
        <f>'Tiktok Raw Data'!C121</f>
        <v>1696</v>
      </c>
      <c r="F121" s="19">
        <f t="shared" si="3"/>
        <v>1.043042453</v>
      </c>
      <c r="G121" s="19">
        <f t="shared" si="4"/>
        <v>23.13295236</v>
      </c>
      <c r="H121" s="19">
        <f>'Tiktok Raw Data'!D121</f>
        <v>1769</v>
      </c>
      <c r="I121" s="17">
        <f t="shared" si="5"/>
        <v>0.01768867925</v>
      </c>
      <c r="J121" s="20">
        <f>'Tiktok Raw Data'!E121</f>
        <v>30</v>
      </c>
      <c r="K121" s="19">
        <f t="shared" si="6"/>
        <v>137.1333333</v>
      </c>
      <c r="L121" s="19">
        <f>'Tiktok Raw Data'!F121</f>
        <v>4114</v>
      </c>
    </row>
    <row r="122">
      <c r="A122" s="11">
        <f>'Tiktok Raw Data'!A122</f>
        <v>45778</v>
      </c>
      <c r="B122" s="14">
        <f t="shared" si="1"/>
        <v>5</v>
      </c>
      <c r="C122" s="12">
        <f>'Tiktok Raw Data'!B122</f>
        <v>24448</v>
      </c>
      <c r="D122" s="17">
        <f t="shared" si="2"/>
        <v>0.01047120419</v>
      </c>
      <c r="E122" s="12">
        <f>'Tiktok Raw Data'!C122</f>
        <v>256</v>
      </c>
      <c r="F122" s="19">
        <f t="shared" si="3"/>
        <v>0.9296875</v>
      </c>
      <c r="G122" s="19">
        <f t="shared" si="4"/>
        <v>9.734947644</v>
      </c>
      <c r="H122" s="19">
        <f>'Tiktok Raw Data'!D122</f>
        <v>238</v>
      </c>
      <c r="I122" s="17">
        <f t="shared" si="5"/>
        <v>0.01953125</v>
      </c>
      <c r="J122" s="20">
        <f>'Tiktok Raw Data'!E122</f>
        <v>5</v>
      </c>
      <c r="K122" s="19">
        <f t="shared" si="6"/>
        <v>153.2</v>
      </c>
      <c r="L122" s="19">
        <f>'Tiktok Raw Data'!F122</f>
        <v>766</v>
      </c>
    </row>
    <row r="123">
      <c r="A123" s="11">
        <f>'Tiktok Raw Data'!A123</f>
        <v>45779</v>
      </c>
      <c r="B123" s="14">
        <f t="shared" si="1"/>
        <v>5</v>
      </c>
      <c r="C123" s="12">
        <f>'Tiktok Raw Data'!B123</f>
        <v>107312</v>
      </c>
      <c r="D123" s="17">
        <f t="shared" si="2"/>
        <v>0.01583233935</v>
      </c>
      <c r="E123" s="12">
        <f>'Tiktok Raw Data'!C123</f>
        <v>1699</v>
      </c>
      <c r="F123" s="19">
        <f t="shared" si="3"/>
        <v>0.8763978811</v>
      </c>
      <c r="G123" s="19">
        <f t="shared" si="4"/>
        <v>13.87542866</v>
      </c>
      <c r="H123" s="19">
        <f>'Tiktok Raw Data'!D123</f>
        <v>1489</v>
      </c>
      <c r="I123" s="17">
        <f t="shared" si="5"/>
        <v>0.01824602707</v>
      </c>
      <c r="J123" s="20">
        <f>'Tiktok Raw Data'!E123</f>
        <v>31</v>
      </c>
      <c r="K123" s="19">
        <f t="shared" si="6"/>
        <v>111.2580645</v>
      </c>
      <c r="L123" s="19">
        <f>'Tiktok Raw Data'!F123</f>
        <v>3449</v>
      </c>
    </row>
    <row r="124">
      <c r="A124" s="11">
        <f>'Tiktok Raw Data'!A124</f>
        <v>45780</v>
      </c>
      <c r="B124" s="14">
        <f t="shared" si="1"/>
        <v>5</v>
      </c>
      <c r="C124" s="12">
        <f>'Tiktok Raw Data'!B124</f>
        <v>66041</v>
      </c>
      <c r="D124" s="17">
        <f t="shared" si="2"/>
        <v>0.02577186899</v>
      </c>
      <c r="E124" s="12">
        <f>'Tiktok Raw Data'!C124</f>
        <v>1702</v>
      </c>
      <c r="F124" s="19">
        <f t="shared" si="3"/>
        <v>1.110458284</v>
      </c>
      <c r="G124" s="19">
        <f t="shared" si="4"/>
        <v>28.61858542</v>
      </c>
      <c r="H124" s="19">
        <f>'Tiktok Raw Data'!D124</f>
        <v>1890</v>
      </c>
      <c r="I124" s="17">
        <f t="shared" si="5"/>
        <v>0.01762632197</v>
      </c>
      <c r="J124" s="20">
        <f>'Tiktok Raw Data'!E124</f>
        <v>30</v>
      </c>
      <c r="K124" s="19">
        <f t="shared" si="6"/>
        <v>141.0666667</v>
      </c>
      <c r="L124" s="19">
        <f>'Tiktok Raw Data'!F124</f>
        <v>4232</v>
      </c>
    </row>
    <row r="125">
      <c r="A125" s="11">
        <f>'Tiktok Raw Data'!A125</f>
        <v>45781</v>
      </c>
      <c r="B125" s="14">
        <f t="shared" si="1"/>
        <v>5</v>
      </c>
      <c r="C125" s="12">
        <f>'Tiktok Raw Data'!B125</f>
        <v>67456</v>
      </c>
      <c r="D125" s="17">
        <f t="shared" si="2"/>
        <v>0.02689160342</v>
      </c>
      <c r="E125" s="12">
        <f>'Tiktok Raw Data'!C125</f>
        <v>1814</v>
      </c>
      <c r="F125" s="19">
        <f t="shared" si="3"/>
        <v>0.927783903</v>
      </c>
      <c r="G125" s="19">
        <f t="shared" si="4"/>
        <v>24.94959677</v>
      </c>
      <c r="H125" s="19">
        <f>'Tiktok Raw Data'!D125</f>
        <v>1683</v>
      </c>
      <c r="I125" s="17">
        <f t="shared" si="5"/>
        <v>0.02094818082</v>
      </c>
      <c r="J125" s="20">
        <f>'Tiktok Raw Data'!E125</f>
        <v>38</v>
      </c>
      <c r="K125" s="19">
        <f t="shared" si="6"/>
        <v>154.9473684</v>
      </c>
      <c r="L125" s="19">
        <f>'Tiktok Raw Data'!F125</f>
        <v>5888</v>
      </c>
    </row>
    <row r="126">
      <c r="A126" s="11">
        <f>'Tiktok Raw Data'!A126</f>
        <v>45782</v>
      </c>
      <c r="B126" s="14">
        <f t="shared" si="1"/>
        <v>5</v>
      </c>
      <c r="C126" s="12">
        <f>'Tiktok Raw Data'!B126</f>
        <v>105881</v>
      </c>
      <c r="D126" s="17">
        <f t="shared" si="2"/>
        <v>0.02069304219</v>
      </c>
      <c r="E126" s="12">
        <f>'Tiktok Raw Data'!C126</f>
        <v>2191</v>
      </c>
      <c r="F126" s="19">
        <f t="shared" si="3"/>
        <v>1.08078503</v>
      </c>
      <c r="G126" s="19">
        <f t="shared" si="4"/>
        <v>22.36473022</v>
      </c>
      <c r="H126" s="19">
        <f>'Tiktok Raw Data'!D126</f>
        <v>2368</v>
      </c>
      <c r="I126" s="17">
        <f t="shared" si="5"/>
        <v>0.02510269283</v>
      </c>
      <c r="J126" s="20">
        <f>'Tiktok Raw Data'!E126</f>
        <v>55</v>
      </c>
      <c r="K126" s="19">
        <f t="shared" si="6"/>
        <v>151.5090909</v>
      </c>
      <c r="L126" s="19">
        <f>'Tiktok Raw Data'!F126</f>
        <v>8333</v>
      </c>
    </row>
    <row r="127">
      <c r="A127" s="11">
        <f>'Tiktok Raw Data'!A127</f>
        <v>45783</v>
      </c>
      <c r="B127" s="14">
        <f t="shared" si="1"/>
        <v>5</v>
      </c>
      <c r="C127" s="12">
        <f>'Tiktok Raw Data'!B127</f>
        <v>63438</v>
      </c>
      <c r="D127" s="17">
        <f t="shared" si="2"/>
        <v>0.01625208865</v>
      </c>
      <c r="E127" s="12">
        <f>'Tiktok Raw Data'!C127</f>
        <v>1031</v>
      </c>
      <c r="F127" s="19">
        <f t="shared" si="3"/>
        <v>0.6876818623</v>
      </c>
      <c r="G127" s="19">
        <f t="shared" si="4"/>
        <v>11.17626659</v>
      </c>
      <c r="H127" s="19">
        <f>'Tiktok Raw Data'!D127</f>
        <v>709</v>
      </c>
      <c r="I127" s="17">
        <f t="shared" si="5"/>
        <v>0.0203685742</v>
      </c>
      <c r="J127" s="20">
        <f>'Tiktok Raw Data'!E127</f>
        <v>21</v>
      </c>
      <c r="K127" s="19">
        <f t="shared" si="6"/>
        <v>161.8571429</v>
      </c>
      <c r="L127" s="19">
        <f>'Tiktok Raw Data'!F127</f>
        <v>3399</v>
      </c>
    </row>
    <row r="128">
      <c r="A128" s="11">
        <f>'Tiktok Raw Data'!A128</f>
        <v>45784</v>
      </c>
      <c r="B128" s="14">
        <f t="shared" si="1"/>
        <v>5</v>
      </c>
      <c r="C128" s="12">
        <f>'Tiktok Raw Data'!B128</f>
        <v>80609</v>
      </c>
      <c r="D128" s="17">
        <f t="shared" si="2"/>
        <v>0.0264734707</v>
      </c>
      <c r="E128" s="12">
        <f>'Tiktok Raw Data'!C128</f>
        <v>2134</v>
      </c>
      <c r="F128" s="19">
        <f t="shared" si="3"/>
        <v>1.361293346</v>
      </c>
      <c r="G128" s="19">
        <f t="shared" si="4"/>
        <v>36.03815951</v>
      </c>
      <c r="H128" s="19">
        <f>'Tiktok Raw Data'!D128</f>
        <v>2905</v>
      </c>
      <c r="I128" s="17">
        <f t="shared" si="5"/>
        <v>0.01546391753</v>
      </c>
      <c r="J128" s="20">
        <f>'Tiktok Raw Data'!E128</f>
        <v>33</v>
      </c>
      <c r="K128" s="19">
        <f t="shared" si="6"/>
        <v>102.8484848</v>
      </c>
      <c r="L128" s="19">
        <f>'Tiktok Raw Data'!F128</f>
        <v>3394</v>
      </c>
    </row>
    <row r="129">
      <c r="A129" s="11">
        <f>'Tiktok Raw Data'!A129</f>
        <v>45785</v>
      </c>
      <c r="B129" s="14">
        <f t="shared" si="1"/>
        <v>5</v>
      </c>
      <c r="C129" s="12">
        <f>'Tiktok Raw Data'!B129</f>
        <v>36438</v>
      </c>
      <c r="D129" s="17">
        <f t="shared" si="2"/>
        <v>0.01487458148</v>
      </c>
      <c r="E129" s="12">
        <f>'Tiktok Raw Data'!C129</f>
        <v>542</v>
      </c>
      <c r="F129" s="19">
        <f t="shared" si="3"/>
        <v>0.7822878229</v>
      </c>
      <c r="G129" s="19">
        <f t="shared" si="4"/>
        <v>11.63620396</v>
      </c>
      <c r="H129" s="19">
        <f>'Tiktok Raw Data'!D129</f>
        <v>424</v>
      </c>
      <c r="I129" s="17">
        <f t="shared" si="5"/>
        <v>0.01291512915</v>
      </c>
      <c r="J129" s="20">
        <f>'Tiktok Raw Data'!E129</f>
        <v>7</v>
      </c>
      <c r="K129" s="19">
        <f t="shared" si="6"/>
        <v>161</v>
      </c>
      <c r="L129" s="19">
        <f>'Tiktok Raw Data'!F129</f>
        <v>1127</v>
      </c>
    </row>
    <row r="130">
      <c r="A130" s="11">
        <f>'Tiktok Raw Data'!A130</f>
        <v>45786</v>
      </c>
      <c r="B130" s="14">
        <f t="shared" si="1"/>
        <v>5</v>
      </c>
      <c r="C130" s="12">
        <f>'Tiktok Raw Data'!B130</f>
        <v>85077</v>
      </c>
      <c r="D130" s="17">
        <f t="shared" si="2"/>
        <v>0.02729292288</v>
      </c>
      <c r="E130" s="12">
        <f>'Tiktok Raw Data'!C130</f>
        <v>2322</v>
      </c>
      <c r="F130" s="19">
        <f t="shared" si="3"/>
        <v>0.8596037898</v>
      </c>
      <c r="G130" s="19">
        <f t="shared" si="4"/>
        <v>23.46109994</v>
      </c>
      <c r="H130" s="19">
        <f>'Tiktok Raw Data'!D130</f>
        <v>1996</v>
      </c>
      <c r="I130" s="17">
        <f t="shared" si="5"/>
        <v>0.02368647717</v>
      </c>
      <c r="J130" s="20">
        <f>'Tiktok Raw Data'!E130</f>
        <v>55</v>
      </c>
      <c r="K130" s="19">
        <f t="shared" si="6"/>
        <v>144.5272727</v>
      </c>
      <c r="L130" s="19">
        <f>'Tiktok Raw Data'!F130</f>
        <v>7949</v>
      </c>
    </row>
    <row r="131">
      <c r="A131" s="11">
        <f>'Tiktok Raw Data'!A131</f>
        <v>45787</v>
      </c>
      <c r="B131" s="14">
        <f t="shared" si="1"/>
        <v>5</v>
      </c>
      <c r="C131" s="12">
        <f>'Tiktok Raw Data'!B131</f>
        <v>73834</v>
      </c>
      <c r="D131" s="17">
        <f t="shared" si="2"/>
        <v>0.0326407888</v>
      </c>
      <c r="E131" s="12">
        <f>'Tiktok Raw Data'!C131</f>
        <v>2410</v>
      </c>
      <c r="F131" s="19">
        <f t="shared" si="3"/>
        <v>1.165145228</v>
      </c>
      <c r="G131" s="19">
        <f t="shared" si="4"/>
        <v>38.03125931</v>
      </c>
      <c r="H131" s="19">
        <f>'Tiktok Raw Data'!D131</f>
        <v>2808</v>
      </c>
      <c r="I131" s="17">
        <f t="shared" si="5"/>
        <v>0.01991701245</v>
      </c>
      <c r="J131" s="20">
        <f>'Tiktok Raw Data'!E131</f>
        <v>48</v>
      </c>
      <c r="K131" s="19">
        <f t="shared" si="6"/>
        <v>147.4375</v>
      </c>
      <c r="L131" s="19">
        <f>'Tiktok Raw Data'!F131</f>
        <v>7077</v>
      </c>
    </row>
    <row r="132">
      <c r="A132" s="11">
        <f>'Tiktok Raw Data'!A132</f>
        <v>45788</v>
      </c>
      <c r="B132" s="14">
        <f t="shared" si="1"/>
        <v>5</v>
      </c>
      <c r="C132" s="12">
        <f>'Tiktok Raw Data'!B132</f>
        <v>21139</v>
      </c>
      <c r="D132" s="17">
        <f t="shared" si="2"/>
        <v>0.01300913004</v>
      </c>
      <c r="E132" s="12">
        <f>'Tiktok Raw Data'!C132</f>
        <v>275</v>
      </c>
      <c r="F132" s="19">
        <f t="shared" si="3"/>
        <v>1.272727273</v>
      </c>
      <c r="G132" s="19">
        <f t="shared" si="4"/>
        <v>16.5570746</v>
      </c>
      <c r="H132" s="19">
        <f>'Tiktok Raw Data'!D132</f>
        <v>350</v>
      </c>
      <c r="I132" s="17">
        <f t="shared" si="5"/>
        <v>0.01818181818</v>
      </c>
      <c r="J132" s="20">
        <f>'Tiktok Raw Data'!E132</f>
        <v>5</v>
      </c>
      <c r="K132" s="19">
        <f t="shared" si="6"/>
        <v>123</v>
      </c>
      <c r="L132" s="19">
        <f>'Tiktok Raw Data'!F132</f>
        <v>615</v>
      </c>
    </row>
    <row r="133">
      <c r="A133" s="11">
        <f>'Tiktok Raw Data'!A133</f>
        <v>45789</v>
      </c>
      <c r="B133" s="14">
        <f t="shared" si="1"/>
        <v>5</v>
      </c>
      <c r="C133" s="12">
        <f>'Tiktok Raw Data'!B133</f>
        <v>37740</v>
      </c>
      <c r="D133" s="17">
        <f t="shared" si="2"/>
        <v>0.02530471648</v>
      </c>
      <c r="E133" s="12">
        <f>'Tiktok Raw Data'!C133</f>
        <v>955</v>
      </c>
      <c r="F133" s="19">
        <f t="shared" si="3"/>
        <v>1.129842932</v>
      </c>
      <c r="G133" s="19">
        <f t="shared" si="4"/>
        <v>28.59035506</v>
      </c>
      <c r="H133" s="19">
        <f>'Tiktok Raw Data'!D133</f>
        <v>1079</v>
      </c>
      <c r="I133" s="17">
        <f t="shared" si="5"/>
        <v>0.01465968586</v>
      </c>
      <c r="J133" s="20">
        <f>'Tiktok Raw Data'!E133</f>
        <v>14</v>
      </c>
      <c r="K133" s="19">
        <f t="shared" si="6"/>
        <v>223.1428571</v>
      </c>
      <c r="L133" s="19">
        <f>'Tiktok Raw Data'!F133</f>
        <v>3124</v>
      </c>
    </row>
    <row r="134">
      <c r="A134" s="11">
        <f>'Tiktok Raw Data'!A134</f>
        <v>45790</v>
      </c>
      <c r="B134" s="14">
        <f t="shared" si="1"/>
        <v>5</v>
      </c>
      <c r="C134" s="12">
        <f>'Tiktok Raw Data'!B134</f>
        <v>52306</v>
      </c>
      <c r="D134" s="17">
        <f t="shared" si="2"/>
        <v>0.01781822353</v>
      </c>
      <c r="E134" s="12">
        <f>'Tiktok Raw Data'!C134</f>
        <v>932</v>
      </c>
      <c r="F134" s="19">
        <f t="shared" si="3"/>
        <v>0.9699570815</v>
      </c>
      <c r="G134" s="19">
        <f t="shared" si="4"/>
        <v>17.28291209</v>
      </c>
      <c r="H134" s="19">
        <f>'Tiktok Raw Data'!D134</f>
        <v>904</v>
      </c>
      <c r="I134" s="17">
        <f t="shared" si="5"/>
        <v>0.01824034335</v>
      </c>
      <c r="J134" s="20">
        <f>'Tiktok Raw Data'!E134</f>
        <v>17</v>
      </c>
      <c r="K134" s="19">
        <f t="shared" si="6"/>
        <v>134.5882353</v>
      </c>
      <c r="L134" s="19">
        <f>'Tiktok Raw Data'!F134</f>
        <v>2288</v>
      </c>
    </row>
    <row r="135">
      <c r="A135" s="11">
        <f>'Tiktok Raw Data'!A135</f>
        <v>45791</v>
      </c>
      <c r="B135" s="14">
        <f t="shared" si="1"/>
        <v>5</v>
      </c>
      <c r="C135" s="12">
        <f>'Tiktok Raw Data'!B135</f>
        <v>117564</v>
      </c>
      <c r="D135" s="17">
        <f t="shared" si="2"/>
        <v>0.01685039638</v>
      </c>
      <c r="E135" s="12">
        <f>'Tiktok Raw Data'!C135</f>
        <v>1981</v>
      </c>
      <c r="F135" s="19">
        <f t="shared" si="3"/>
        <v>1.288238264</v>
      </c>
      <c r="G135" s="19">
        <f t="shared" si="4"/>
        <v>21.70732537</v>
      </c>
      <c r="H135" s="19">
        <f>'Tiktok Raw Data'!D135</f>
        <v>2552</v>
      </c>
      <c r="I135" s="17">
        <f t="shared" si="5"/>
        <v>0.01261988894</v>
      </c>
      <c r="J135" s="20">
        <f>'Tiktok Raw Data'!E135</f>
        <v>25</v>
      </c>
      <c r="K135" s="19">
        <f t="shared" si="6"/>
        <v>108.4</v>
      </c>
      <c r="L135" s="19">
        <f>'Tiktok Raw Data'!F135</f>
        <v>2710</v>
      </c>
    </row>
    <row r="136">
      <c r="A136" s="11">
        <f>'Tiktok Raw Data'!A136</f>
        <v>45792</v>
      </c>
      <c r="B136" s="14">
        <f t="shared" si="1"/>
        <v>5</v>
      </c>
      <c r="C136" s="12">
        <f>'Tiktok Raw Data'!B136</f>
        <v>25364</v>
      </c>
      <c r="D136" s="17">
        <f t="shared" si="2"/>
        <v>0.01711086579</v>
      </c>
      <c r="E136" s="12">
        <f>'Tiktok Raw Data'!C136</f>
        <v>434</v>
      </c>
      <c r="F136" s="19">
        <f t="shared" si="3"/>
        <v>0.6774193548</v>
      </c>
      <c r="G136" s="19">
        <f t="shared" si="4"/>
        <v>11.59123167</v>
      </c>
      <c r="H136" s="19">
        <f>'Tiktok Raw Data'!D136</f>
        <v>294</v>
      </c>
      <c r="I136" s="17">
        <f t="shared" si="5"/>
        <v>0.02534562212</v>
      </c>
      <c r="J136" s="20">
        <f>'Tiktok Raw Data'!E136</f>
        <v>11</v>
      </c>
      <c r="K136" s="19">
        <f t="shared" si="6"/>
        <v>108.5454545</v>
      </c>
      <c r="L136" s="19">
        <f>'Tiktok Raw Data'!F136</f>
        <v>1194</v>
      </c>
    </row>
    <row r="137">
      <c r="A137" s="11">
        <f>'Tiktok Raw Data'!A137</f>
        <v>45793</v>
      </c>
      <c r="B137" s="14">
        <f t="shared" si="1"/>
        <v>5</v>
      </c>
      <c r="C137" s="12">
        <f>'Tiktok Raw Data'!B137</f>
        <v>74630</v>
      </c>
      <c r="D137" s="17">
        <f t="shared" si="2"/>
        <v>0.02122470856</v>
      </c>
      <c r="E137" s="12">
        <f>'Tiktok Raw Data'!C137</f>
        <v>1584</v>
      </c>
      <c r="F137" s="19">
        <f t="shared" si="3"/>
        <v>0.6957070707</v>
      </c>
      <c r="G137" s="19">
        <f t="shared" si="4"/>
        <v>14.76617982</v>
      </c>
      <c r="H137" s="19">
        <f>'Tiktok Raw Data'!D137</f>
        <v>1102</v>
      </c>
      <c r="I137" s="17">
        <f t="shared" si="5"/>
        <v>0.02525252525</v>
      </c>
      <c r="J137" s="20">
        <f>'Tiktok Raw Data'!E137</f>
        <v>40</v>
      </c>
      <c r="K137" s="19">
        <f t="shared" si="6"/>
        <v>144.25</v>
      </c>
      <c r="L137" s="19">
        <f>'Tiktok Raw Data'!F137</f>
        <v>5770</v>
      </c>
    </row>
    <row r="138">
      <c r="A138" s="11">
        <f>'Tiktok Raw Data'!A138</f>
        <v>45794</v>
      </c>
      <c r="B138" s="14">
        <f t="shared" si="1"/>
        <v>5</v>
      </c>
      <c r="C138" s="12">
        <f>'Tiktok Raw Data'!B138</f>
        <v>63489</v>
      </c>
      <c r="D138" s="17">
        <f t="shared" si="2"/>
        <v>0.01946793933</v>
      </c>
      <c r="E138" s="12">
        <f>'Tiktok Raw Data'!C138</f>
        <v>1236</v>
      </c>
      <c r="F138" s="19">
        <f t="shared" si="3"/>
        <v>0.8624595469</v>
      </c>
      <c r="G138" s="19">
        <f t="shared" si="4"/>
        <v>16.79031013</v>
      </c>
      <c r="H138" s="19">
        <f>'Tiktok Raw Data'!D138</f>
        <v>1066</v>
      </c>
      <c r="I138" s="17">
        <f t="shared" si="5"/>
        <v>0.01375404531</v>
      </c>
      <c r="J138" s="20">
        <f>'Tiktok Raw Data'!E138</f>
        <v>17</v>
      </c>
      <c r="K138" s="19">
        <f t="shared" si="6"/>
        <v>153.5882353</v>
      </c>
      <c r="L138" s="19">
        <f>'Tiktok Raw Data'!F138</f>
        <v>2611</v>
      </c>
    </row>
    <row r="139">
      <c r="A139" s="11">
        <f>'Tiktok Raw Data'!A139</f>
        <v>45795</v>
      </c>
      <c r="B139" s="14">
        <f t="shared" si="1"/>
        <v>5</v>
      </c>
      <c r="C139" s="12">
        <f>'Tiktok Raw Data'!B139</f>
        <v>105220</v>
      </c>
      <c r="D139" s="17">
        <f t="shared" si="2"/>
        <v>0.01617563201</v>
      </c>
      <c r="E139" s="12">
        <f>'Tiktok Raw Data'!C139</f>
        <v>1702</v>
      </c>
      <c r="F139" s="19">
        <f t="shared" si="3"/>
        <v>1.292596945</v>
      </c>
      <c r="G139" s="19">
        <f t="shared" si="4"/>
        <v>20.90857251</v>
      </c>
      <c r="H139" s="19">
        <f>'Tiktok Raw Data'!D139</f>
        <v>2200</v>
      </c>
      <c r="I139" s="17">
        <f t="shared" si="5"/>
        <v>0.02643948296</v>
      </c>
      <c r="J139" s="20">
        <f>'Tiktok Raw Data'!E139</f>
        <v>45</v>
      </c>
      <c r="K139" s="19">
        <f t="shared" si="6"/>
        <v>146.6222222</v>
      </c>
      <c r="L139" s="19">
        <f>'Tiktok Raw Data'!F139</f>
        <v>6598</v>
      </c>
    </row>
    <row r="140">
      <c r="A140" s="11">
        <f>'Tiktok Raw Data'!A140</f>
        <v>45796</v>
      </c>
      <c r="B140" s="14">
        <f t="shared" si="1"/>
        <v>5</v>
      </c>
      <c r="C140" s="12">
        <f>'Tiktok Raw Data'!B140</f>
        <v>68778</v>
      </c>
      <c r="D140" s="17">
        <f t="shared" si="2"/>
        <v>0.03637791154</v>
      </c>
      <c r="E140" s="12">
        <f>'Tiktok Raw Data'!C140</f>
        <v>2502</v>
      </c>
      <c r="F140" s="19">
        <f t="shared" si="3"/>
        <v>0.8417266187</v>
      </c>
      <c r="G140" s="19">
        <f t="shared" si="4"/>
        <v>30.62025648</v>
      </c>
      <c r="H140" s="19">
        <f>'Tiktok Raw Data'!D140</f>
        <v>2106</v>
      </c>
      <c r="I140" s="17">
        <f t="shared" si="5"/>
        <v>0.02238209432</v>
      </c>
      <c r="J140" s="20">
        <f>'Tiktok Raw Data'!E140</f>
        <v>56</v>
      </c>
      <c r="K140" s="19">
        <f t="shared" si="6"/>
        <v>154.0178571</v>
      </c>
      <c r="L140" s="19">
        <f>'Tiktok Raw Data'!F140</f>
        <v>8625</v>
      </c>
    </row>
    <row r="141">
      <c r="A141" s="11">
        <f>'Tiktok Raw Data'!A141</f>
        <v>45797</v>
      </c>
      <c r="B141" s="14">
        <f t="shared" si="1"/>
        <v>5</v>
      </c>
      <c r="C141" s="12">
        <f>'Tiktok Raw Data'!B141</f>
        <v>93302</v>
      </c>
      <c r="D141" s="17">
        <f t="shared" si="2"/>
        <v>0.010428501</v>
      </c>
      <c r="E141" s="12">
        <f>'Tiktok Raw Data'!C141</f>
        <v>973</v>
      </c>
      <c r="F141" s="19">
        <f t="shared" si="3"/>
        <v>0.7954779034</v>
      </c>
      <c r="G141" s="19">
        <f t="shared" si="4"/>
        <v>8.295642108</v>
      </c>
      <c r="H141" s="19">
        <f>'Tiktok Raw Data'!D141</f>
        <v>774</v>
      </c>
      <c r="I141" s="17">
        <f t="shared" si="5"/>
        <v>0.01336073998</v>
      </c>
      <c r="J141" s="20">
        <f>'Tiktok Raw Data'!E141</f>
        <v>13</v>
      </c>
      <c r="K141" s="19">
        <f t="shared" si="6"/>
        <v>113.6923077</v>
      </c>
      <c r="L141" s="19">
        <f>'Tiktok Raw Data'!F141</f>
        <v>1478</v>
      </c>
    </row>
    <row r="142">
      <c r="A142" s="11">
        <f>'Tiktok Raw Data'!A142</f>
        <v>45798</v>
      </c>
      <c r="B142" s="14">
        <f t="shared" si="1"/>
        <v>5</v>
      </c>
      <c r="C142" s="12">
        <f>'Tiktok Raw Data'!B142</f>
        <v>91348</v>
      </c>
      <c r="D142" s="17">
        <f t="shared" si="2"/>
        <v>0.01513990454</v>
      </c>
      <c r="E142" s="12">
        <f>'Tiktok Raw Data'!C142</f>
        <v>1383</v>
      </c>
      <c r="F142" s="19">
        <f t="shared" si="3"/>
        <v>1.041214751</v>
      </c>
      <c r="G142" s="19">
        <f t="shared" si="4"/>
        <v>15.76389193</v>
      </c>
      <c r="H142" s="19">
        <f>'Tiktok Raw Data'!D142</f>
        <v>1440</v>
      </c>
      <c r="I142" s="17">
        <f t="shared" si="5"/>
        <v>0.02241503977</v>
      </c>
      <c r="J142" s="20">
        <f>'Tiktok Raw Data'!E142</f>
        <v>31</v>
      </c>
      <c r="K142" s="19">
        <f t="shared" si="6"/>
        <v>184.2580645</v>
      </c>
      <c r="L142" s="19">
        <f>'Tiktok Raw Data'!F142</f>
        <v>5712</v>
      </c>
    </row>
    <row r="143">
      <c r="A143" s="11">
        <f>'Tiktok Raw Data'!A143</f>
        <v>45799</v>
      </c>
      <c r="B143" s="14">
        <f t="shared" si="1"/>
        <v>5</v>
      </c>
      <c r="C143" s="12">
        <f>'Tiktok Raw Data'!B143</f>
        <v>70267</v>
      </c>
      <c r="D143" s="17">
        <f t="shared" si="2"/>
        <v>0.01165554243</v>
      </c>
      <c r="E143" s="12">
        <f>'Tiktok Raw Data'!C143</f>
        <v>819</v>
      </c>
      <c r="F143" s="19">
        <f t="shared" si="3"/>
        <v>1.253968254</v>
      </c>
      <c r="G143" s="19">
        <f t="shared" si="4"/>
        <v>14.61568019</v>
      </c>
      <c r="H143" s="19">
        <f>'Tiktok Raw Data'!D143</f>
        <v>1027</v>
      </c>
      <c r="I143" s="17">
        <f t="shared" si="5"/>
        <v>0.01953601954</v>
      </c>
      <c r="J143" s="20">
        <f>'Tiktok Raw Data'!E143</f>
        <v>16</v>
      </c>
      <c r="K143" s="19">
        <f t="shared" si="6"/>
        <v>168.25</v>
      </c>
      <c r="L143" s="19">
        <f>'Tiktok Raw Data'!F143</f>
        <v>2692</v>
      </c>
    </row>
    <row r="144">
      <c r="A144" s="11">
        <f>'Tiktok Raw Data'!A144</f>
        <v>45800</v>
      </c>
      <c r="B144" s="14">
        <f t="shared" si="1"/>
        <v>5</v>
      </c>
      <c r="C144" s="12">
        <f>'Tiktok Raw Data'!B144</f>
        <v>80874</v>
      </c>
      <c r="D144" s="17">
        <f t="shared" si="2"/>
        <v>0.01770655588</v>
      </c>
      <c r="E144" s="12">
        <f>'Tiktok Raw Data'!C144</f>
        <v>1432</v>
      </c>
      <c r="F144" s="19">
        <f t="shared" si="3"/>
        <v>0.936452514</v>
      </c>
      <c r="G144" s="19">
        <f t="shared" si="4"/>
        <v>16.58134876</v>
      </c>
      <c r="H144" s="19">
        <f>'Tiktok Raw Data'!D144</f>
        <v>1341</v>
      </c>
      <c r="I144" s="17">
        <f t="shared" si="5"/>
        <v>0.01675977654</v>
      </c>
      <c r="J144" s="20">
        <f>'Tiktok Raw Data'!E144</f>
        <v>24</v>
      </c>
      <c r="K144" s="19">
        <f t="shared" si="6"/>
        <v>169.0416667</v>
      </c>
      <c r="L144" s="19">
        <f>'Tiktok Raw Data'!F144</f>
        <v>4057</v>
      </c>
    </row>
    <row r="145">
      <c r="A145" s="11">
        <f>'Tiktok Raw Data'!A145</f>
        <v>45801</v>
      </c>
      <c r="B145" s="14">
        <f t="shared" si="1"/>
        <v>5</v>
      </c>
      <c r="C145" s="12">
        <f>'Tiktok Raw Data'!B145</f>
        <v>103764</v>
      </c>
      <c r="D145" s="17">
        <f t="shared" si="2"/>
        <v>0.01154543001</v>
      </c>
      <c r="E145" s="12">
        <f>'Tiktok Raw Data'!C145</f>
        <v>1198</v>
      </c>
      <c r="F145" s="19">
        <f t="shared" si="3"/>
        <v>0.9106844741</v>
      </c>
      <c r="G145" s="19">
        <f t="shared" si="4"/>
        <v>10.51424386</v>
      </c>
      <c r="H145" s="19">
        <f>'Tiktok Raw Data'!D145</f>
        <v>1091</v>
      </c>
      <c r="I145" s="17">
        <f t="shared" si="5"/>
        <v>0.01585976628</v>
      </c>
      <c r="J145" s="20">
        <f>'Tiktok Raw Data'!E145</f>
        <v>19</v>
      </c>
      <c r="K145" s="19">
        <f t="shared" si="6"/>
        <v>180.1052632</v>
      </c>
      <c r="L145" s="19">
        <f>'Tiktok Raw Data'!F145</f>
        <v>3422</v>
      </c>
    </row>
    <row r="146">
      <c r="A146" s="11">
        <f>'Tiktok Raw Data'!A146</f>
        <v>45802</v>
      </c>
      <c r="B146" s="14">
        <f t="shared" si="1"/>
        <v>5</v>
      </c>
      <c r="C146" s="12">
        <f>'Tiktok Raw Data'!B146</f>
        <v>72519</v>
      </c>
      <c r="D146" s="17">
        <f t="shared" si="2"/>
        <v>0.03312235414</v>
      </c>
      <c r="E146" s="12">
        <f>'Tiktok Raw Data'!C146</f>
        <v>2402</v>
      </c>
      <c r="F146" s="19">
        <f t="shared" si="3"/>
        <v>1.195253955</v>
      </c>
      <c r="G146" s="19">
        <f t="shared" si="4"/>
        <v>39.58962479</v>
      </c>
      <c r="H146" s="19">
        <f>'Tiktok Raw Data'!D146</f>
        <v>2871</v>
      </c>
      <c r="I146" s="17">
        <f t="shared" si="5"/>
        <v>0.01207327227</v>
      </c>
      <c r="J146" s="20">
        <f>'Tiktok Raw Data'!E146</f>
        <v>29</v>
      </c>
      <c r="K146" s="19">
        <f t="shared" si="6"/>
        <v>157.4482759</v>
      </c>
      <c r="L146" s="19">
        <f>'Tiktok Raw Data'!F146</f>
        <v>4566</v>
      </c>
    </row>
    <row r="147">
      <c r="A147" s="11">
        <f>'Tiktok Raw Data'!A147</f>
        <v>45803</v>
      </c>
      <c r="B147" s="14">
        <f t="shared" si="1"/>
        <v>5</v>
      </c>
      <c r="C147" s="12">
        <f>'Tiktok Raw Data'!B147</f>
        <v>81742</v>
      </c>
      <c r="D147" s="17">
        <f t="shared" si="2"/>
        <v>0.0282596462</v>
      </c>
      <c r="E147" s="12">
        <f>'Tiktok Raw Data'!C147</f>
        <v>2310</v>
      </c>
      <c r="F147" s="19">
        <f t="shared" si="3"/>
        <v>1.261038961</v>
      </c>
      <c r="G147" s="19">
        <f t="shared" si="4"/>
        <v>35.63651489</v>
      </c>
      <c r="H147" s="19">
        <f>'Tiktok Raw Data'!D147</f>
        <v>2913</v>
      </c>
      <c r="I147" s="17">
        <f t="shared" si="5"/>
        <v>0.02164502165</v>
      </c>
      <c r="J147" s="20">
        <f>'Tiktok Raw Data'!E147</f>
        <v>50</v>
      </c>
      <c r="K147" s="19">
        <f t="shared" si="6"/>
        <v>166.64</v>
      </c>
      <c r="L147" s="19">
        <f>'Tiktok Raw Data'!F147</f>
        <v>8332</v>
      </c>
    </row>
    <row r="148">
      <c r="A148" s="11">
        <f>'Tiktok Raw Data'!A148</f>
        <v>45804</v>
      </c>
      <c r="B148" s="14">
        <f t="shared" si="1"/>
        <v>5</v>
      </c>
      <c r="C148" s="12">
        <f>'Tiktok Raw Data'!B148</f>
        <v>46255</v>
      </c>
      <c r="D148" s="17">
        <f t="shared" si="2"/>
        <v>0.01753323965</v>
      </c>
      <c r="E148" s="12">
        <f>'Tiktok Raw Data'!C148</f>
        <v>811</v>
      </c>
      <c r="F148" s="19">
        <f t="shared" si="3"/>
        <v>0.813810111</v>
      </c>
      <c r="G148" s="19">
        <f t="shared" si="4"/>
        <v>14.26872771</v>
      </c>
      <c r="H148" s="19">
        <f>'Tiktok Raw Data'!D148</f>
        <v>660</v>
      </c>
      <c r="I148" s="17">
        <f t="shared" si="5"/>
        <v>0.01356350185</v>
      </c>
      <c r="J148" s="20">
        <f>'Tiktok Raw Data'!E148</f>
        <v>11</v>
      </c>
      <c r="K148" s="19">
        <f t="shared" si="6"/>
        <v>187.4545455</v>
      </c>
      <c r="L148" s="19">
        <f>'Tiktok Raw Data'!F148</f>
        <v>2062</v>
      </c>
    </row>
    <row r="149">
      <c r="A149" s="11">
        <f>'Tiktok Raw Data'!A149</f>
        <v>45805</v>
      </c>
      <c r="B149" s="14">
        <f t="shared" si="1"/>
        <v>5</v>
      </c>
      <c r="C149" s="12">
        <f>'Tiktok Raw Data'!B149</f>
        <v>94627</v>
      </c>
      <c r="D149" s="17">
        <f t="shared" si="2"/>
        <v>0.02868103184</v>
      </c>
      <c r="E149" s="12">
        <f>'Tiktok Raw Data'!C149</f>
        <v>2714</v>
      </c>
      <c r="F149" s="19">
        <f t="shared" si="3"/>
        <v>1.106853353</v>
      </c>
      <c r="G149" s="19">
        <f t="shared" si="4"/>
        <v>31.74569626</v>
      </c>
      <c r="H149" s="19">
        <f>'Tiktok Raw Data'!D149</f>
        <v>3004</v>
      </c>
      <c r="I149" s="17">
        <f t="shared" si="5"/>
        <v>0.02100221076</v>
      </c>
      <c r="J149" s="20">
        <f>'Tiktok Raw Data'!E149</f>
        <v>57</v>
      </c>
      <c r="K149" s="19">
        <f t="shared" si="6"/>
        <v>182.7017544</v>
      </c>
      <c r="L149" s="19">
        <f>'Tiktok Raw Data'!F149</f>
        <v>10414</v>
      </c>
    </row>
    <row r="150">
      <c r="A150" s="11">
        <f>'Tiktok Raw Data'!A150</f>
        <v>45806</v>
      </c>
      <c r="B150" s="14">
        <f t="shared" si="1"/>
        <v>5</v>
      </c>
      <c r="C150" s="12">
        <f>'Tiktok Raw Data'!B150</f>
        <v>64109</v>
      </c>
      <c r="D150" s="17">
        <f t="shared" si="2"/>
        <v>0.02321046967</v>
      </c>
      <c r="E150" s="12">
        <f>'Tiktok Raw Data'!C150</f>
        <v>1488</v>
      </c>
      <c r="F150" s="19">
        <f t="shared" si="3"/>
        <v>0.6525537634</v>
      </c>
      <c r="G150" s="19">
        <f t="shared" si="4"/>
        <v>15.14607933</v>
      </c>
      <c r="H150" s="19">
        <f>'Tiktok Raw Data'!D150</f>
        <v>971</v>
      </c>
      <c r="I150" s="17">
        <f t="shared" si="5"/>
        <v>0.02284946237</v>
      </c>
      <c r="J150" s="20">
        <f>'Tiktok Raw Data'!E150</f>
        <v>34</v>
      </c>
      <c r="K150" s="19">
        <f t="shared" si="6"/>
        <v>133.8235294</v>
      </c>
      <c r="L150" s="19">
        <f>'Tiktok Raw Data'!F150</f>
        <v>4550</v>
      </c>
    </row>
    <row r="151">
      <c r="A151" s="11">
        <f>'Tiktok Raw Data'!A151</f>
        <v>45807</v>
      </c>
      <c r="B151" s="14">
        <f t="shared" si="1"/>
        <v>5</v>
      </c>
      <c r="C151" s="12">
        <f>'Tiktok Raw Data'!B151</f>
        <v>56435</v>
      </c>
      <c r="D151" s="17">
        <f t="shared" si="2"/>
        <v>0.02347833791</v>
      </c>
      <c r="E151" s="12">
        <f>'Tiktok Raw Data'!C151</f>
        <v>1325</v>
      </c>
      <c r="F151" s="19">
        <f t="shared" si="3"/>
        <v>1.170566038</v>
      </c>
      <c r="G151" s="19">
        <f t="shared" si="4"/>
        <v>27.48294498</v>
      </c>
      <c r="H151" s="19">
        <f>'Tiktok Raw Data'!D151</f>
        <v>1551</v>
      </c>
      <c r="I151" s="17">
        <f t="shared" si="5"/>
        <v>0.01962264151</v>
      </c>
      <c r="J151" s="20">
        <f>'Tiktok Raw Data'!E151</f>
        <v>26</v>
      </c>
      <c r="K151" s="19">
        <f t="shared" si="6"/>
        <v>170.8076923</v>
      </c>
      <c r="L151" s="19">
        <f>'Tiktok Raw Data'!F151</f>
        <v>4441</v>
      </c>
    </row>
    <row r="152">
      <c r="A152" s="11">
        <f>'Tiktok Raw Data'!A152</f>
        <v>45808</v>
      </c>
      <c r="B152" s="14">
        <f t="shared" si="1"/>
        <v>5</v>
      </c>
      <c r="C152" s="12">
        <f>'Tiktok Raw Data'!B152</f>
        <v>33813</v>
      </c>
      <c r="D152" s="17">
        <f t="shared" si="2"/>
        <v>0.01203679058</v>
      </c>
      <c r="E152" s="12">
        <f>'Tiktok Raw Data'!C152</f>
        <v>407</v>
      </c>
      <c r="F152" s="19">
        <f t="shared" si="3"/>
        <v>0.7542997543</v>
      </c>
      <c r="G152" s="19">
        <f t="shared" si="4"/>
        <v>9.07934818</v>
      </c>
      <c r="H152" s="19">
        <f>'Tiktok Raw Data'!D152</f>
        <v>307</v>
      </c>
      <c r="I152" s="17">
        <f t="shared" si="5"/>
        <v>0.01228501229</v>
      </c>
      <c r="J152" s="20">
        <f>'Tiktok Raw Data'!E152</f>
        <v>5</v>
      </c>
      <c r="K152" s="19">
        <f t="shared" si="6"/>
        <v>180.4</v>
      </c>
      <c r="L152" s="19">
        <f>'Tiktok Raw Data'!F152</f>
        <v>902</v>
      </c>
    </row>
    <row r="153">
      <c r="A153" s="11">
        <f>'Tiktok Raw Data'!A153</f>
        <v>45809</v>
      </c>
      <c r="B153" s="14">
        <f t="shared" si="1"/>
        <v>6</v>
      </c>
      <c r="C153" s="12">
        <f>'Tiktok Raw Data'!B153</f>
        <v>66532</v>
      </c>
      <c r="D153" s="17">
        <f t="shared" si="2"/>
        <v>0.02424397283</v>
      </c>
      <c r="E153" s="12">
        <f>'Tiktok Raw Data'!C153</f>
        <v>1613</v>
      </c>
      <c r="F153" s="19">
        <f t="shared" si="3"/>
        <v>0.6788592684</v>
      </c>
      <c r="G153" s="19">
        <f t="shared" si="4"/>
        <v>16.45824566</v>
      </c>
      <c r="H153" s="19">
        <f>'Tiktok Raw Data'!D153</f>
        <v>1095</v>
      </c>
      <c r="I153" s="17">
        <f t="shared" si="5"/>
        <v>0.01487910725</v>
      </c>
      <c r="J153" s="20">
        <f>'Tiktok Raw Data'!E153</f>
        <v>24</v>
      </c>
      <c r="K153" s="19">
        <f t="shared" si="6"/>
        <v>139.0416667</v>
      </c>
      <c r="L153" s="19">
        <f>'Tiktok Raw Data'!F153</f>
        <v>3337</v>
      </c>
    </row>
    <row r="154">
      <c r="A154" s="11">
        <f>'Tiktok Raw Data'!A154</f>
        <v>45810</v>
      </c>
      <c r="B154" s="14">
        <f t="shared" si="1"/>
        <v>6</v>
      </c>
      <c r="C154" s="12">
        <f>'Tiktok Raw Data'!B154</f>
        <v>103974</v>
      </c>
      <c r="D154" s="17">
        <f t="shared" si="2"/>
        <v>0.01988958778</v>
      </c>
      <c r="E154" s="12">
        <f>'Tiktok Raw Data'!C154</f>
        <v>2068</v>
      </c>
      <c r="F154" s="19">
        <f t="shared" si="3"/>
        <v>1.364119923</v>
      </c>
      <c r="G154" s="19">
        <f t="shared" si="4"/>
        <v>27.13178295</v>
      </c>
      <c r="H154" s="19">
        <f>'Tiktok Raw Data'!D154</f>
        <v>2821</v>
      </c>
      <c r="I154" s="17">
        <f t="shared" si="5"/>
        <v>0.0251450677</v>
      </c>
      <c r="J154" s="20">
        <f>'Tiktok Raw Data'!E154</f>
        <v>52</v>
      </c>
      <c r="K154" s="19">
        <f t="shared" si="6"/>
        <v>97.86538462</v>
      </c>
      <c r="L154" s="19">
        <f>'Tiktok Raw Data'!F154</f>
        <v>5089</v>
      </c>
    </row>
    <row r="155">
      <c r="A155" s="11">
        <f>'Tiktok Raw Data'!A155</f>
        <v>45811</v>
      </c>
      <c r="B155" s="14">
        <f t="shared" si="1"/>
        <v>6</v>
      </c>
      <c r="C155" s="12">
        <f>'Tiktok Raw Data'!B155</f>
        <v>35392</v>
      </c>
      <c r="D155" s="17">
        <f t="shared" si="2"/>
        <v>0.01910036166</v>
      </c>
      <c r="E155" s="12">
        <f>'Tiktok Raw Data'!C155</f>
        <v>676</v>
      </c>
      <c r="F155" s="19">
        <f t="shared" si="3"/>
        <v>1.224852071</v>
      </c>
      <c r="G155" s="19">
        <f t="shared" si="4"/>
        <v>23.39511754</v>
      </c>
      <c r="H155" s="19">
        <f>'Tiktok Raw Data'!D155</f>
        <v>828</v>
      </c>
      <c r="I155" s="17">
        <f t="shared" si="5"/>
        <v>0.02366863905</v>
      </c>
      <c r="J155" s="20">
        <f>'Tiktok Raw Data'!E155</f>
        <v>16</v>
      </c>
      <c r="K155" s="19">
        <f t="shared" si="6"/>
        <v>180.5625</v>
      </c>
      <c r="L155" s="19">
        <f>'Tiktok Raw Data'!F155</f>
        <v>2889</v>
      </c>
    </row>
    <row r="156">
      <c r="A156" s="11">
        <f>'Tiktok Raw Data'!A156</f>
        <v>45812</v>
      </c>
      <c r="B156" s="14">
        <f t="shared" si="1"/>
        <v>6</v>
      </c>
      <c r="C156" s="12">
        <f>'Tiktok Raw Data'!B156</f>
        <v>69161</v>
      </c>
      <c r="D156" s="17">
        <f t="shared" si="2"/>
        <v>0.02290308122</v>
      </c>
      <c r="E156" s="12">
        <f>'Tiktok Raw Data'!C156</f>
        <v>1584</v>
      </c>
      <c r="F156" s="19">
        <f t="shared" si="3"/>
        <v>0.966540404</v>
      </c>
      <c r="G156" s="19">
        <f t="shared" si="4"/>
        <v>22.13675337</v>
      </c>
      <c r="H156" s="19">
        <f>'Tiktok Raw Data'!D156</f>
        <v>1531</v>
      </c>
      <c r="I156" s="17">
        <f t="shared" si="5"/>
        <v>0.02335858586</v>
      </c>
      <c r="J156" s="20">
        <f>'Tiktok Raw Data'!E156</f>
        <v>37</v>
      </c>
      <c r="K156" s="19">
        <f t="shared" si="6"/>
        <v>112.1621622</v>
      </c>
      <c r="L156" s="19">
        <f>'Tiktok Raw Data'!F156</f>
        <v>4150</v>
      </c>
    </row>
    <row r="157">
      <c r="A157" s="11">
        <f>'Tiktok Raw Data'!A157</f>
        <v>45813</v>
      </c>
      <c r="B157" s="14">
        <f t="shared" si="1"/>
        <v>6</v>
      </c>
      <c r="C157" s="12">
        <f>'Tiktok Raw Data'!B157</f>
        <v>80677</v>
      </c>
      <c r="D157" s="17">
        <f t="shared" si="2"/>
        <v>0.02916568539</v>
      </c>
      <c r="E157" s="12">
        <f>'Tiktok Raw Data'!C157</f>
        <v>2353</v>
      </c>
      <c r="F157" s="19">
        <f t="shared" si="3"/>
        <v>0.6816829579</v>
      </c>
      <c r="G157" s="19">
        <f t="shared" si="4"/>
        <v>19.88175068</v>
      </c>
      <c r="H157" s="19">
        <f>'Tiktok Raw Data'!D157</f>
        <v>1604</v>
      </c>
      <c r="I157" s="17">
        <f t="shared" si="5"/>
        <v>0.02209944751</v>
      </c>
      <c r="J157" s="20">
        <f>'Tiktok Raw Data'!E157</f>
        <v>52</v>
      </c>
      <c r="K157" s="19">
        <f t="shared" si="6"/>
        <v>131.3269231</v>
      </c>
      <c r="L157" s="19">
        <f>'Tiktok Raw Data'!F157</f>
        <v>6829</v>
      </c>
    </row>
    <row r="158">
      <c r="A158" s="11">
        <f>'Tiktok Raw Data'!A158</f>
        <v>45814</v>
      </c>
      <c r="B158" s="14">
        <f t="shared" si="1"/>
        <v>6</v>
      </c>
      <c r="C158" s="12">
        <f>'Tiktok Raw Data'!B158</f>
        <v>93359</v>
      </c>
      <c r="D158" s="17">
        <f t="shared" si="2"/>
        <v>0.0200087833</v>
      </c>
      <c r="E158" s="12">
        <f>'Tiktok Raw Data'!C158</f>
        <v>1868</v>
      </c>
      <c r="F158" s="19">
        <f t="shared" si="3"/>
        <v>1.0251606</v>
      </c>
      <c r="G158" s="19">
        <f t="shared" si="4"/>
        <v>20.51221628</v>
      </c>
      <c r="H158" s="19">
        <f>'Tiktok Raw Data'!D158</f>
        <v>1915</v>
      </c>
      <c r="I158" s="17">
        <f t="shared" si="5"/>
        <v>0.01713062099</v>
      </c>
      <c r="J158" s="20">
        <f>'Tiktok Raw Data'!E158</f>
        <v>32</v>
      </c>
      <c r="K158" s="19">
        <f t="shared" si="6"/>
        <v>127.875</v>
      </c>
      <c r="L158" s="19">
        <f>'Tiktok Raw Data'!F158</f>
        <v>4092</v>
      </c>
    </row>
    <row r="159">
      <c r="A159" s="11">
        <f>'Tiktok Raw Data'!A159</f>
        <v>45815</v>
      </c>
      <c r="B159" s="14">
        <f t="shared" si="1"/>
        <v>6</v>
      </c>
      <c r="C159" s="12">
        <f>'Tiktok Raw Data'!B159</f>
        <v>78392</v>
      </c>
      <c r="D159" s="17">
        <f t="shared" si="2"/>
        <v>0.02333146239</v>
      </c>
      <c r="E159" s="12">
        <f>'Tiktok Raw Data'!C159</f>
        <v>1829</v>
      </c>
      <c r="F159" s="19">
        <f t="shared" si="3"/>
        <v>0.8507381083</v>
      </c>
      <c r="G159" s="19">
        <f t="shared" si="4"/>
        <v>19.84896418</v>
      </c>
      <c r="H159" s="19">
        <f>'Tiktok Raw Data'!D159</f>
        <v>1556</v>
      </c>
      <c r="I159" s="17">
        <f t="shared" si="5"/>
        <v>0.02460360853</v>
      </c>
      <c r="J159" s="20">
        <f>'Tiktok Raw Data'!E159</f>
        <v>45</v>
      </c>
      <c r="K159" s="19">
        <f t="shared" si="6"/>
        <v>187.8444444</v>
      </c>
      <c r="L159" s="19">
        <f>'Tiktok Raw Data'!F159</f>
        <v>8453</v>
      </c>
    </row>
    <row r="160">
      <c r="A160" s="11">
        <f>'Tiktok Raw Data'!A160</f>
        <v>45816</v>
      </c>
      <c r="B160" s="14">
        <f t="shared" si="1"/>
        <v>6</v>
      </c>
      <c r="C160" s="12">
        <f>'Tiktok Raw Data'!B160</f>
        <v>107060</v>
      </c>
      <c r="D160" s="17">
        <f t="shared" si="2"/>
        <v>0.02365028956</v>
      </c>
      <c r="E160" s="12">
        <f>'Tiktok Raw Data'!C160</f>
        <v>2532</v>
      </c>
      <c r="F160" s="19">
        <f t="shared" si="3"/>
        <v>0.8064770932</v>
      </c>
      <c r="G160" s="19">
        <f t="shared" si="4"/>
        <v>19.07341678</v>
      </c>
      <c r="H160" s="19">
        <f>'Tiktok Raw Data'!D160</f>
        <v>2042</v>
      </c>
      <c r="I160" s="17">
        <f t="shared" si="5"/>
        <v>0.01658767773</v>
      </c>
      <c r="J160" s="20">
        <f>'Tiktok Raw Data'!E160</f>
        <v>42</v>
      </c>
      <c r="K160" s="19">
        <f t="shared" si="6"/>
        <v>183.3571429</v>
      </c>
      <c r="L160" s="19">
        <f>'Tiktok Raw Data'!F160</f>
        <v>7701</v>
      </c>
    </row>
    <row r="161">
      <c r="A161" s="11">
        <f>'Tiktok Raw Data'!A161</f>
        <v>45817</v>
      </c>
      <c r="B161" s="14">
        <f t="shared" si="1"/>
        <v>6</v>
      </c>
      <c r="C161" s="12">
        <f>'Tiktok Raw Data'!B161</f>
        <v>49858</v>
      </c>
      <c r="D161" s="17">
        <f t="shared" si="2"/>
        <v>0.01582494284</v>
      </c>
      <c r="E161" s="12">
        <f>'Tiktok Raw Data'!C161</f>
        <v>789</v>
      </c>
      <c r="F161" s="19">
        <f t="shared" si="3"/>
        <v>0.9759188847</v>
      </c>
      <c r="G161" s="19">
        <f t="shared" si="4"/>
        <v>15.44386056</v>
      </c>
      <c r="H161" s="19">
        <f>'Tiktok Raw Data'!D161</f>
        <v>770</v>
      </c>
      <c r="I161" s="17">
        <f t="shared" si="5"/>
        <v>0.01267427123</v>
      </c>
      <c r="J161" s="20">
        <f>'Tiktok Raw Data'!E161</f>
        <v>10</v>
      </c>
      <c r="K161" s="19">
        <f t="shared" si="6"/>
        <v>150.9</v>
      </c>
      <c r="L161" s="19">
        <f>'Tiktok Raw Data'!F161</f>
        <v>1509</v>
      </c>
    </row>
    <row r="162">
      <c r="A162" s="11">
        <f>'Tiktok Raw Data'!A162</f>
        <v>45818</v>
      </c>
      <c r="B162" s="14">
        <f t="shared" si="1"/>
        <v>6</v>
      </c>
      <c r="C162" s="12">
        <f>'Tiktok Raw Data'!B162</f>
        <v>92974</v>
      </c>
      <c r="D162" s="17">
        <f t="shared" si="2"/>
        <v>0.02982554262</v>
      </c>
      <c r="E162" s="12">
        <f>'Tiktok Raw Data'!C162</f>
        <v>2773</v>
      </c>
      <c r="F162" s="19">
        <f t="shared" si="3"/>
        <v>0.7392715471</v>
      </c>
      <c r="G162" s="19">
        <f t="shared" si="4"/>
        <v>22.04917504</v>
      </c>
      <c r="H162" s="19">
        <f>'Tiktok Raw Data'!D162</f>
        <v>2050</v>
      </c>
      <c r="I162" s="17">
        <f t="shared" si="5"/>
        <v>0.01262170934</v>
      </c>
      <c r="J162" s="20">
        <f>'Tiktok Raw Data'!E162</f>
        <v>35</v>
      </c>
      <c r="K162" s="19">
        <f t="shared" si="6"/>
        <v>154.3142857</v>
      </c>
      <c r="L162" s="19">
        <f>'Tiktok Raw Data'!F162</f>
        <v>5401</v>
      </c>
    </row>
    <row r="163">
      <c r="A163" s="11">
        <f>'Tiktok Raw Data'!A163</f>
        <v>45819</v>
      </c>
      <c r="B163" s="14">
        <f t="shared" si="1"/>
        <v>6</v>
      </c>
      <c r="C163" s="12">
        <f>'Tiktok Raw Data'!B163</f>
        <v>93927</v>
      </c>
      <c r="D163" s="17">
        <f t="shared" si="2"/>
        <v>0.01573562447</v>
      </c>
      <c r="E163" s="12">
        <f>'Tiktok Raw Data'!C163</f>
        <v>1478</v>
      </c>
      <c r="F163" s="19">
        <f t="shared" si="3"/>
        <v>0.7185385656</v>
      </c>
      <c r="G163" s="19">
        <f t="shared" si="4"/>
        <v>11.30665304</v>
      </c>
      <c r="H163" s="19">
        <f>'Tiktok Raw Data'!D163</f>
        <v>1062</v>
      </c>
      <c r="I163" s="17">
        <f t="shared" si="5"/>
        <v>0.01150202977</v>
      </c>
      <c r="J163" s="20">
        <f>'Tiktok Raw Data'!E163</f>
        <v>17</v>
      </c>
      <c r="K163" s="19">
        <f t="shared" si="6"/>
        <v>189.7647059</v>
      </c>
      <c r="L163" s="19">
        <f>'Tiktok Raw Data'!F163</f>
        <v>3226</v>
      </c>
    </row>
    <row r="164">
      <c r="A164" s="11">
        <f>'Tiktok Raw Data'!A164</f>
        <v>45820</v>
      </c>
      <c r="B164" s="14">
        <f t="shared" si="1"/>
        <v>6</v>
      </c>
      <c r="C164" s="12">
        <f>'Tiktok Raw Data'!B164</f>
        <v>31823</v>
      </c>
      <c r="D164" s="17">
        <f t="shared" si="2"/>
        <v>0.01596329699</v>
      </c>
      <c r="E164" s="12">
        <f>'Tiktok Raw Data'!C164</f>
        <v>508</v>
      </c>
      <c r="F164" s="19">
        <f t="shared" si="3"/>
        <v>0.6909448819</v>
      </c>
      <c r="G164" s="19">
        <f t="shared" si="4"/>
        <v>11.02975835</v>
      </c>
      <c r="H164" s="19">
        <f>'Tiktok Raw Data'!D164</f>
        <v>351</v>
      </c>
      <c r="I164" s="17">
        <f t="shared" si="5"/>
        <v>0.02165354331</v>
      </c>
      <c r="J164" s="20">
        <f>'Tiktok Raw Data'!E164</f>
        <v>11</v>
      </c>
      <c r="K164" s="19">
        <f t="shared" si="6"/>
        <v>168.9090909</v>
      </c>
      <c r="L164" s="19">
        <f>'Tiktok Raw Data'!F164</f>
        <v>1858</v>
      </c>
    </row>
    <row r="165">
      <c r="A165" s="11">
        <f>'Tiktok Raw Data'!A165</f>
        <v>45821</v>
      </c>
      <c r="B165" s="14">
        <f t="shared" si="1"/>
        <v>6</v>
      </c>
      <c r="C165" s="12">
        <f>'Tiktok Raw Data'!B165</f>
        <v>59219</v>
      </c>
      <c r="D165" s="17">
        <f t="shared" si="2"/>
        <v>0.02862257046</v>
      </c>
      <c r="E165" s="12">
        <f>'Tiktok Raw Data'!C165</f>
        <v>1695</v>
      </c>
      <c r="F165" s="19">
        <f t="shared" si="3"/>
        <v>1.187020649</v>
      </c>
      <c r="G165" s="19">
        <f t="shared" si="4"/>
        <v>33.97558216</v>
      </c>
      <c r="H165" s="19">
        <f>'Tiktok Raw Data'!D165</f>
        <v>2012</v>
      </c>
      <c r="I165" s="17">
        <f t="shared" si="5"/>
        <v>0.02005899705</v>
      </c>
      <c r="J165" s="20">
        <f>'Tiktok Raw Data'!E165</f>
        <v>34</v>
      </c>
      <c r="K165" s="19">
        <f t="shared" si="6"/>
        <v>186.7941176</v>
      </c>
      <c r="L165" s="19">
        <f>'Tiktok Raw Data'!F165</f>
        <v>6351</v>
      </c>
    </row>
    <row r="166">
      <c r="A166" s="11">
        <f>'Tiktok Raw Data'!A166</f>
        <v>45822</v>
      </c>
      <c r="B166" s="14">
        <f t="shared" si="1"/>
        <v>6</v>
      </c>
      <c r="C166" s="12">
        <f>'Tiktok Raw Data'!B166</f>
        <v>73802</v>
      </c>
      <c r="D166" s="17">
        <f t="shared" si="2"/>
        <v>0.02246551584</v>
      </c>
      <c r="E166" s="12">
        <f>'Tiktok Raw Data'!C166</f>
        <v>1658</v>
      </c>
      <c r="F166" s="19">
        <f t="shared" si="3"/>
        <v>0.7653799759</v>
      </c>
      <c r="G166" s="19">
        <f t="shared" si="4"/>
        <v>17.19465597</v>
      </c>
      <c r="H166" s="19">
        <f>'Tiktok Raw Data'!D166</f>
        <v>1269</v>
      </c>
      <c r="I166" s="17">
        <f t="shared" si="5"/>
        <v>0.01507840772</v>
      </c>
      <c r="J166" s="20">
        <f>'Tiktok Raw Data'!E166</f>
        <v>25</v>
      </c>
      <c r="K166" s="19">
        <f t="shared" si="6"/>
        <v>177.16</v>
      </c>
      <c r="L166" s="19">
        <f>'Tiktok Raw Data'!F166</f>
        <v>4429</v>
      </c>
    </row>
    <row r="167">
      <c r="A167" s="11">
        <f>'Tiktok Raw Data'!A167</f>
        <v>45823</v>
      </c>
      <c r="B167" s="14">
        <f t="shared" si="1"/>
        <v>6</v>
      </c>
      <c r="C167" s="12">
        <f>'Tiktok Raw Data'!B167</f>
        <v>88524</v>
      </c>
      <c r="D167" s="17">
        <f t="shared" si="2"/>
        <v>0.0316298405</v>
      </c>
      <c r="E167" s="12">
        <f>'Tiktok Raw Data'!C167</f>
        <v>2800</v>
      </c>
      <c r="F167" s="19">
        <f t="shared" si="3"/>
        <v>0.7282142857</v>
      </c>
      <c r="G167" s="19">
        <f t="shared" si="4"/>
        <v>23.0333017</v>
      </c>
      <c r="H167" s="19">
        <f>'Tiktok Raw Data'!D167</f>
        <v>2039</v>
      </c>
      <c r="I167" s="17">
        <f t="shared" si="5"/>
        <v>0.0225</v>
      </c>
      <c r="J167" s="20">
        <f>'Tiktok Raw Data'!E167</f>
        <v>63</v>
      </c>
      <c r="K167" s="19">
        <f t="shared" si="6"/>
        <v>178.6031746</v>
      </c>
      <c r="L167" s="19">
        <f>'Tiktok Raw Data'!F167</f>
        <v>11252</v>
      </c>
    </row>
    <row r="168">
      <c r="A168" s="11">
        <f>'Tiktok Raw Data'!A168</f>
        <v>45824</v>
      </c>
      <c r="B168" s="14">
        <f t="shared" si="1"/>
        <v>6</v>
      </c>
      <c r="C168" s="12">
        <f>'Tiktok Raw Data'!B168</f>
        <v>96726</v>
      </c>
      <c r="D168" s="17">
        <f t="shared" si="2"/>
        <v>0.03539896202</v>
      </c>
      <c r="E168" s="12">
        <f>'Tiktok Raw Data'!C168</f>
        <v>3424</v>
      </c>
      <c r="F168" s="19">
        <f t="shared" si="3"/>
        <v>1.11682243</v>
      </c>
      <c r="G168" s="19">
        <f t="shared" si="4"/>
        <v>39.53435478</v>
      </c>
      <c r="H168" s="19">
        <f>'Tiktok Raw Data'!D168</f>
        <v>3824</v>
      </c>
      <c r="I168" s="17">
        <f t="shared" si="5"/>
        <v>0.01518691589</v>
      </c>
      <c r="J168" s="20">
        <f>'Tiktok Raw Data'!E168</f>
        <v>52</v>
      </c>
      <c r="K168" s="19">
        <f t="shared" si="6"/>
        <v>152.7884615</v>
      </c>
      <c r="L168" s="19">
        <f>'Tiktok Raw Data'!F168</f>
        <v>7945</v>
      </c>
    </row>
    <row r="169">
      <c r="A169" s="11">
        <f>'Tiktok Raw Data'!A169</f>
        <v>45825</v>
      </c>
      <c r="B169" s="14">
        <f t="shared" si="1"/>
        <v>6</v>
      </c>
      <c r="C169" s="12">
        <f>'Tiktok Raw Data'!B169</f>
        <v>36420</v>
      </c>
      <c r="D169" s="17">
        <f t="shared" si="2"/>
        <v>0.01817682592</v>
      </c>
      <c r="E169" s="12">
        <f>'Tiktok Raw Data'!C169</f>
        <v>662</v>
      </c>
      <c r="F169" s="19">
        <f t="shared" si="3"/>
        <v>0.7235649547</v>
      </c>
      <c r="G169" s="19">
        <f t="shared" si="4"/>
        <v>13.15211422</v>
      </c>
      <c r="H169" s="19">
        <f>'Tiktok Raw Data'!D169</f>
        <v>479</v>
      </c>
      <c r="I169" s="17">
        <f t="shared" si="5"/>
        <v>0.01057401813</v>
      </c>
      <c r="J169" s="20">
        <f>'Tiktok Raw Data'!E169</f>
        <v>7</v>
      </c>
      <c r="K169" s="19">
        <f t="shared" si="6"/>
        <v>219.1428571</v>
      </c>
      <c r="L169" s="19">
        <f>'Tiktok Raw Data'!F169</f>
        <v>1534</v>
      </c>
    </row>
    <row r="170">
      <c r="A170" s="11">
        <f>'Tiktok Raw Data'!A170</f>
        <v>45826</v>
      </c>
      <c r="B170" s="14">
        <f t="shared" si="1"/>
        <v>6</v>
      </c>
      <c r="C170" s="12">
        <f>'Tiktok Raw Data'!B170</f>
        <v>46221</v>
      </c>
      <c r="D170" s="17">
        <f t="shared" si="2"/>
        <v>0.008437723113</v>
      </c>
      <c r="E170" s="12">
        <f>'Tiktok Raw Data'!C170</f>
        <v>390</v>
      </c>
      <c r="F170" s="19">
        <f t="shared" si="3"/>
        <v>1.420512821</v>
      </c>
      <c r="G170" s="19">
        <f t="shared" si="4"/>
        <v>11.98589386</v>
      </c>
      <c r="H170" s="19">
        <f>'Tiktok Raw Data'!D170</f>
        <v>554</v>
      </c>
      <c r="I170" s="17">
        <f t="shared" si="5"/>
        <v>0.01538461538</v>
      </c>
      <c r="J170" s="20">
        <f>'Tiktok Raw Data'!E170</f>
        <v>6</v>
      </c>
      <c r="K170" s="19">
        <f t="shared" si="6"/>
        <v>178.6666667</v>
      </c>
      <c r="L170" s="19">
        <f>'Tiktok Raw Data'!F170</f>
        <v>1072</v>
      </c>
    </row>
    <row r="171">
      <c r="A171" s="11">
        <f>'Tiktok Raw Data'!A171</f>
        <v>45827</v>
      </c>
      <c r="B171" s="14">
        <f t="shared" si="1"/>
        <v>6</v>
      </c>
      <c r="C171" s="12">
        <f>'Tiktok Raw Data'!B171</f>
        <v>54089</v>
      </c>
      <c r="D171" s="17">
        <f t="shared" si="2"/>
        <v>0.02775055926</v>
      </c>
      <c r="E171" s="12">
        <f>'Tiktok Raw Data'!C171</f>
        <v>1501</v>
      </c>
      <c r="F171" s="19">
        <f t="shared" si="3"/>
        <v>0.7928047968</v>
      </c>
      <c r="G171" s="19">
        <f t="shared" si="4"/>
        <v>22.0007765</v>
      </c>
      <c r="H171" s="19">
        <f>'Tiktok Raw Data'!D171</f>
        <v>1190</v>
      </c>
      <c r="I171" s="17">
        <f t="shared" si="5"/>
        <v>0.01332445037</v>
      </c>
      <c r="J171" s="20">
        <f>'Tiktok Raw Data'!E171</f>
        <v>20</v>
      </c>
      <c r="K171" s="19">
        <f t="shared" si="6"/>
        <v>178.6</v>
      </c>
      <c r="L171" s="19">
        <f>'Tiktok Raw Data'!F171</f>
        <v>3572</v>
      </c>
    </row>
    <row r="172">
      <c r="A172" s="11">
        <f>'Tiktok Raw Data'!A172</f>
        <v>45828</v>
      </c>
      <c r="B172" s="14">
        <f t="shared" si="1"/>
        <v>6</v>
      </c>
      <c r="C172" s="12">
        <f>'Tiktok Raw Data'!B172</f>
        <v>66874</v>
      </c>
      <c r="D172" s="17">
        <f t="shared" si="2"/>
        <v>0.02431438227</v>
      </c>
      <c r="E172" s="12">
        <f>'Tiktok Raw Data'!C172</f>
        <v>1626</v>
      </c>
      <c r="F172" s="19">
        <f t="shared" si="3"/>
        <v>1.155596556</v>
      </c>
      <c r="G172" s="19">
        <f t="shared" si="4"/>
        <v>28.09761641</v>
      </c>
      <c r="H172" s="19">
        <f>'Tiktok Raw Data'!D172</f>
        <v>1879</v>
      </c>
      <c r="I172" s="17">
        <f t="shared" si="5"/>
        <v>0.02398523985</v>
      </c>
      <c r="J172" s="20">
        <f>'Tiktok Raw Data'!E172</f>
        <v>39</v>
      </c>
      <c r="K172" s="19">
        <f t="shared" si="6"/>
        <v>175.4871795</v>
      </c>
      <c r="L172" s="19">
        <f>'Tiktok Raw Data'!F172</f>
        <v>6844</v>
      </c>
    </row>
    <row r="173">
      <c r="A173" s="11">
        <f>'Tiktok Raw Data'!A173</f>
        <v>45829</v>
      </c>
      <c r="B173" s="14">
        <f t="shared" si="1"/>
        <v>6</v>
      </c>
      <c r="C173" s="12">
        <f>'Tiktok Raw Data'!B173</f>
        <v>91720</v>
      </c>
      <c r="D173" s="17">
        <f t="shared" si="2"/>
        <v>0.02555604012</v>
      </c>
      <c r="E173" s="12">
        <f>'Tiktok Raw Data'!C173</f>
        <v>2344</v>
      </c>
      <c r="F173" s="19">
        <f t="shared" si="3"/>
        <v>1.223976109</v>
      </c>
      <c r="G173" s="19">
        <f t="shared" si="4"/>
        <v>31.27998256</v>
      </c>
      <c r="H173" s="19">
        <f>'Tiktok Raw Data'!D173</f>
        <v>2869</v>
      </c>
      <c r="I173" s="17">
        <f t="shared" si="5"/>
        <v>0.0204778157</v>
      </c>
      <c r="J173" s="20">
        <f>'Tiktok Raw Data'!E173</f>
        <v>48</v>
      </c>
      <c r="K173" s="19">
        <f t="shared" si="6"/>
        <v>161.6666667</v>
      </c>
      <c r="L173" s="19">
        <f>'Tiktok Raw Data'!F173</f>
        <v>7760</v>
      </c>
    </row>
    <row r="174">
      <c r="A174" s="11">
        <f>'Tiktok Raw Data'!A174</f>
        <v>45830</v>
      </c>
      <c r="B174" s="14">
        <f t="shared" si="1"/>
        <v>6</v>
      </c>
      <c r="C174" s="12">
        <f>'Tiktok Raw Data'!B174</f>
        <v>91964</v>
      </c>
      <c r="D174" s="17">
        <f t="shared" si="2"/>
        <v>0.0306967944</v>
      </c>
      <c r="E174" s="12">
        <f>'Tiktok Raw Data'!C174</f>
        <v>2823</v>
      </c>
      <c r="F174" s="19">
        <f t="shared" si="3"/>
        <v>1.11937655</v>
      </c>
      <c r="G174" s="19">
        <f t="shared" si="4"/>
        <v>34.3612718</v>
      </c>
      <c r="H174" s="19">
        <f>'Tiktok Raw Data'!D174</f>
        <v>3160</v>
      </c>
      <c r="I174" s="17">
        <f t="shared" si="5"/>
        <v>0.01664895501</v>
      </c>
      <c r="J174" s="20">
        <f>'Tiktok Raw Data'!E174</f>
        <v>47</v>
      </c>
      <c r="K174" s="19">
        <f t="shared" si="6"/>
        <v>145.2765957</v>
      </c>
      <c r="L174" s="19">
        <f>'Tiktok Raw Data'!F174</f>
        <v>6828</v>
      </c>
    </row>
    <row r="175">
      <c r="A175" s="11">
        <f>'Tiktok Raw Data'!A175</f>
        <v>45831</v>
      </c>
      <c r="B175" s="14">
        <f t="shared" si="1"/>
        <v>6</v>
      </c>
      <c r="C175" s="12">
        <f>'Tiktok Raw Data'!B175</f>
        <v>70888</v>
      </c>
      <c r="D175" s="17">
        <f t="shared" si="2"/>
        <v>0.01695632547</v>
      </c>
      <c r="E175" s="12">
        <f>'Tiktok Raw Data'!C175</f>
        <v>1202</v>
      </c>
      <c r="F175" s="19">
        <f t="shared" si="3"/>
        <v>1.242096506</v>
      </c>
      <c r="G175" s="19">
        <f t="shared" si="4"/>
        <v>21.06139262</v>
      </c>
      <c r="H175" s="19">
        <f>'Tiktok Raw Data'!D175</f>
        <v>1493</v>
      </c>
      <c r="I175" s="17">
        <f t="shared" si="5"/>
        <v>0.0224625624</v>
      </c>
      <c r="J175" s="20">
        <f>'Tiktok Raw Data'!E175</f>
        <v>27</v>
      </c>
      <c r="K175" s="19">
        <f t="shared" si="6"/>
        <v>176.962963</v>
      </c>
      <c r="L175" s="19">
        <f>'Tiktok Raw Data'!F175</f>
        <v>4778</v>
      </c>
    </row>
    <row r="176">
      <c r="A176" s="11">
        <f>'Tiktok Raw Data'!A176</f>
        <v>45832</v>
      </c>
      <c r="B176" s="14">
        <f t="shared" si="1"/>
        <v>6</v>
      </c>
      <c r="C176" s="12">
        <f>'Tiktok Raw Data'!B176</f>
        <v>85428</v>
      </c>
      <c r="D176" s="17">
        <f t="shared" si="2"/>
        <v>0.01088636044</v>
      </c>
      <c r="E176" s="12">
        <f>'Tiktok Raw Data'!C176</f>
        <v>930</v>
      </c>
      <c r="F176" s="19">
        <f t="shared" si="3"/>
        <v>1.23655914</v>
      </c>
      <c r="G176" s="19">
        <f t="shared" si="4"/>
        <v>13.46162851</v>
      </c>
      <c r="H176" s="19">
        <f>'Tiktok Raw Data'!D176</f>
        <v>1150</v>
      </c>
      <c r="I176" s="17">
        <f t="shared" si="5"/>
        <v>0.02258064516</v>
      </c>
      <c r="J176" s="20">
        <f>'Tiktok Raw Data'!E176</f>
        <v>21</v>
      </c>
      <c r="K176" s="19">
        <f t="shared" si="6"/>
        <v>130.2857143</v>
      </c>
      <c r="L176" s="19">
        <f>'Tiktok Raw Data'!F176</f>
        <v>2736</v>
      </c>
    </row>
    <row r="177">
      <c r="A177" s="11">
        <f>'Tiktok Raw Data'!A177</f>
        <v>45833</v>
      </c>
      <c r="B177" s="14">
        <f t="shared" si="1"/>
        <v>6</v>
      </c>
      <c r="C177" s="12">
        <f>'Tiktok Raw Data'!B177</f>
        <v>36396</v>
      </c>
      <c r="D177" s="17">
        <f t="shared" si="2"/>
        <v>0.01678755907</v>
      </c>
      <c r="E177" s="12">
        <f>'Tiktok Raw Data'!C177</f>
        <v>611</v>
      </c>
      <c r="F177" s="19">
        <f t="shared" si="3"/>
        <v>0.7806873977</v>
      </c>
      <c r="G177" s="19">
        <f t="shared" si="4"/>
        <v>13.10583581</v>
      </c>
      <c r="H177" s="19">
        <f>'Tiktok Raw Data'!D177</f>
        <v>477</v>
      </c>
      <c r="I177" s="17">
        <f t="shared" si="5"/>
        <v>0.01636661211</v>
      </c>
      <c r="J177" s="20">
        <f>'Tiktok Raw Data'!E177</f>
        <v>10</v>
      </c>
      <c r="K177" s="19">
        <f t="shared" si="6"/>
        <v>199.1</v>
      </c>
      <c r="L177" s="19">
        <f>'Tiktok Raw Data'!F177</f>
        <v>1991</v>
      </c>
    </row>
    <row r="178">
      <c r="A178" s="11">
        <f>'Tiktok Raw Data'!A178</f>
        <v>45834</v>
      </c>
      <c r="B178" s="14">
        <f t="shared" si="1"/>
        <v>6</v>
      </c>
      <c r="C178" s="12">
        <f>'Tiktok Raw Data'!B178</f>
        <v>78357</v>
      </c>
      <c r="D178" s="17">
        <f t="shared" si="2"/>
        <v>0.01965363656</v>
      </c>
      <c r="E178" s="12">
        <f>'Tiktok Raw Data'!C178</f>
        <v>1540</v>
      </c>
      <c r="F178" s="19">
        <f t="shared" si="3"/>
        <v>1.180519481</v>
      </c>
      <c r="G178" s="19">
        <f t="shared" si="4"/>
        <v>23.20150082</v>
      </c>
      <c r="H178" s="19">
        <f>'Tiktok Raw Data'!D178</f>
        <v>1818</v>
      </c>
      <c r="I178" s="17">
        <f t="shared" si="5"/>
        <v>0.02142857143</v>
      </c>
      <c r="J178" s="20">
        <f>'Tiktok Raw Data'!E178</f>
        <v>33</v>
      </c>
      <c r="K178" s="19">
        <f t="shared" si="6"/>
        <v>168.6666667</v>
      </c>
      <c r="L178" s="19">
        <f>'Tiktok Raw Data'!F178</f>
        <v>5566</v>
      </c>
    </row>
    <row r="179">
      <c r="A179" s="11">
        <f>'Tiktok Raw Data'!A179</f>
        <v>45835</v>
      </c>
      <c r="B179" s="14">
        <f t="shared" si="1"/>
        <v>6</v>
      </c>
      <c r="C179" s="12">
        <f>'Tiktok Raw Data'!B179</f>
        <v>39906</v>
      </c>
      <c r="D179" s="17">
        <f t="shared" si="2"/>
        <v>0.02217711622</v>
      </c>
      <c r="E179" s="12">
        <f>'Tiktok Raw Data'!C179</f>
        <v>885</v>
      </c>
      <c r="F179" s="19">
        <f t="shared" si="3"/>
        <v>1.161581921</v>
      </c>
      <c r="G179" s="19">
        <f t="shared" si="4"/>
        <v>25.76053726</v>
      </c>
      <c r="H179" s="19">
        <f>'Tiktok Raw Data'!D179</f>
        <v>1028</v>
      </c>
      <c r="I179" s="17">
        <f t="shared" si="5"/>
        <v>0.01920903955</v>
      </c>
      <c r="J179" s="20">
        <f>'Tiktok Raw Data'!E179</f>
        <v>17</v>
      </c>
      <c r="K179" s="19">
        <f t="shared" si="6"/>
        <v>156.4705882</v>
      </c>
      <c r="L179" s="19">
        <f>'Tiktok Raw Data'!F179</f>
        <v>2660</v>
      </c>
    </row>
    <row r="180">
      <c r="A180" s="11">
        <f>'Tiktok Raw Data'!A180</f>
        <v>45836</v>
      </c>
      <c r="B180" s="14">
        <f t="shared" si="1"/>
        <v>6</v>
      </c>
      <c r="C180" s="12">
        <f>'Tiktok Raw Data'!B180</f>
        <v>36228</v>
      </c>
      <c r="D180" s="17">
        <f t="shared" si="2"/>
        <v>0.01810754113</v>
      </c>
      <c r="E180" s="12">
        <f>'Tiktok Raw Data'!C180</f>
        <v>656</v>
      </c>
      <c r="F180" s="19">
        <f t="shared" si="3"/>
        <v>1.100609756</v>
      </c>
      <c r="G180" s="19">
        <f t="shared" si="4"/>
        <v>19.92933642</v>
      </c>
      <c r="H180" s="19">
        <f>'Tiktok Raw Data'!D180</f>
        <v>722</v>
      </c>
      <c r="I180" s="17">
        <f t="shared" si="5"/>
        <v>0.01676829268</v>
      </c>
      <c r="J180" s="20">
        <f>'Tiktok Raw Data'!E180</f>
        <v>11</v>
      </c>
      <c r="K180" s="19">
        <f t="shared" si="6"/>
        <v>160</v>
      </c>
      <c r="L180" s="19">
        <f>'Tiktok Raw Data'!F180</f>
        <v>1760</v>
      </c>
    </row>
    <row r="181">
      <c r="A181" s="11">
        <f>'Tiktok Raw Data'!A181</f>
        <v>45837</v>
      </c>
      <c r="B181" s="14">
        <f t="shared" si="1"/>
        <v>6</v>
      </c>
      <c r="C181" s="12">
        <f>'Tiktok Raw Data'!B181</f>
        <v>39763</v>
      </c>
      <c r="D181" s="17">
        <f t="shared" si="2"/>
        <v>0.01234816286</v>
      </c>
      <c r="E181" s="12">
        <f>'Tiktok Raw Data'!C181</f>
        <v>491</v>
      </c>
      <c r="F181" s="19">
        <f t="shared" si="3"/>
        <v>0.8615071283</v>
      </c>
      <c r="G181" s="19">
        <f t="shared" si="4"/>
        <v>10.63803033</v>
      </c>
      <c r="H181" s="19">
        <f>'Tiktok Raw Data'!D181</f>
        <v>423</v>
      </c>
      <c r="I181" s="17">
        <f t="shared" si="5"/>
        <v>0.02443991853</v>
      </c>
      <c r="J181" s="20">
        <f>'Tiktok Raw Data'!E181</f>
        <v>12</v>
      </c>
      <c r="K181" s="19">
        <f t="shared" si="6"/>
        <v>134.5</v>
      </c>
      <c r="L181" s="19">
        <f>'Tiktok Raw Data'!F181</f>
        <v>1614</v>
      </c>
    </row>
    <row r="182">
      <c r="A182" s="11">
        <f>'Tiktok Raw Data'!A182</f>
        <v>45838</v>
      </c>
      <c r="B182" s="14">
        <f t="shared" si="1"/>
        <v>6</v>
      </c>
      <c r="C182" s="12">
        <f>'Tiktok Raw Data'!B182</f>
        <v>56341</v>
      </c>
      <c r="D182" s="17">
        <f t="shared" si="2"/>
        <v>0.02058891393</v>
      </c>
      <c r="E182" s="12">
        <f>'Tiktok Raw Data'!C182</f>
        <v>1160</v>
      </c>
      <c r="F182" s="19">
        <f t="shared" si="3"/>
        <v>1.313793103</v>
      </c>
      <c r="G182" s="19">
        <f t="shared" si="4"/>
        <v>27.04957314</v>
      </c>
      <c r="H182" s="19">
        <f>'Tiktok Raw Data'!D182</f>
        <v>1524</v>
      </c>
      <c r="I182" s="17">
        <f t="shared" si="5"/>
        <v>0.01896551724</v>
      </c>
      <c r="J182" s="20">
        <f>'Tiktok Raw Data'!E182</f>
        <v>22</v>
      </c>
      <c r="K182" s="19">
        <f t="shared" si="6"/>
        <v>130.5</v>
      </c>
      <c r="L182" s="19">
        <f>'Tiktok Raw Data'!F182</f>
        <v>2871</v>
      </c>
    </row>
    <row r="183">
      <c r="A183" s="11">
        <f>'Tiktok Raw Data'!A183</f>
        <v>45839</v>
      </c>
      <c r="B183" s="14">
        <f t="shared" si="1"/>
        <v>7</v>
      </c>
      <c r="C183" s="12">
        <f>'Tiktok Raw Data'!B183</f>
        <v>102174</v>
      </c>
      <c r="D183" s="17">
        <f t="shared" si="2"/>
        <v>0.02736508309</v>
      </c>
      <c r="E183" s="12">
        <f>'Tiktok Raw Data'!C183</f>
        <v>2796</v>
      </c>
      <c r="F183" s="19">
        <f t="shared" si="3"/>
        <v>0.9638769671</v>
      </c>
      <c r="G183" s="19">
        <f t="shared" si="4"/>
        <v>26.3765733</v>
      </c>
      <c r="H183" s="19">
        <f>'Tiktok Raw Data'!D183</f>
        <v>2695</v>
      </c>
      <c r="I183" s="17">
        <f t="shared" si="5"/>
        <v>0.02181688126</v>
      </c>
      <c r="J183" s="20">
        <f>'Tiktok Raw Data'!E183</f>
        <v>61</v>
      </c>
      <c r="K183" s="19">
        <f t="shared" si="6"/>
        <v>181.5245902</v>
      </c>
      <c r="L183" s="19">
        <f>'Tiktok Raw Data'!F183</f>
        <v>11073</v>
      </c>
    </row>
    <row r="184">
      <c r="A184" s="11">
        <f>'Tiktok Raw Data'!A184</f>
        <v>45840</v>
      </c>
      <c r="B184" s="14">
        <f t="shared" si="1"/>
        <v>7</v>
      </c>
      <c r="C184" s="12">
        <f>'Tiktok Raw Data'!B184</f>
        <v>37030</v>
      </c>
      <c r="D184" s="17">
        <f t="shared" si="2"/>
        <v>0.02443964353</v>
      </c>
      <c r="E184" s="12">
        <f>'Tiktok Raw Data'!C184</f>
        <v>905</v>
      </c>
      <c r="F184" s="19">
        <f t="shared" si="3"/>
        <v>0.5966850829</v>
      </c>
      <c r="G184" s="19">
        <f t="shared" si="4"/>
        <v>14.58277073</v>
      </c>
      <c r="H184" s="19">
        <f>'Tiktok Raw Data'!D184</f>
        <v>540</v>
      </c>
      <c r="I184" s="17">
        <f t="shared" si="5"/>
        <v>0.01988950276</v>
      </c>
      <c r="J184" s="20">
        <f>'Tiktok Raw Data'!E184</f>
        <v>18</v>
      </c>
      <c r="K184" s="19">
        <f t="shared" si="6"/>
        <v>180.0555556</v>
      </c>
      <c r="L184" s="19">
        <f>'Tiktok Raw Data'!F184</f>
        <v>3241</v>
      </c>
    </row>
    <row r="185">
      <c r="A185" s="11">
        <f>'Tiktok Raw Data'!A185</f>
        <v>45841</v>
      </c>
      <c r="B185" s="14">
        <f t="shared" si="1"/>
        <v>7</v>
      </c>
      <c r="C185" s="12">
        <f>'Tiktok Raw Data'!B185</f>
        <v>73230</v>
      </c>
      <c r="D185" s="17">
        <f t="shared" si="2"/>
        <v>0.02168510173</v>
      </c>
      <c r="E185" s="12">
        <f>'Tiktok Raw Data'!C185</f>
        <v>1588</v>
      </c>
      <c r="F185" s="19">
        <f t="shared" si="3"/>
        <v>1.088161209</v>
      </c>
      <c r="G185" s="19">
        <f t="shared" si="4"/>
        <v>23.59688652</v>
      </c>
      <c r="H185" s="19">
        <f>'Tiktok Raw Data'!D185</f>
        <v>1728</v>
      </c>
      <c r="I185" s="17">
        <f t="shared" si="5"/>
        <v>0.01259445844</v>
      </c>
      <c r="J185" s="20">
        <f>'Tiktok Raw Data'!E185</f>
        <v>20</v>
      </c>
      <c r="K185" s="19">
        <f t="shared" si="6"/>
        <v>152.9</v>
      </c>
      <c r="L185" s="19">
        <f>'Tiktok Raw Data'!F185</f>
        <v>3058</v>
      </c>
    </row>
    <row r="186">
      <c r="A186" s="11">
        <f>'Tiktok Raw Data'!A186</f>
        <v>45842</v>
      </c>
      <c r="B186" s="14">
        <f t="shared" si="1"/>
        <v>7</v>
      </c>
      <c r="C186" s="12">
        <f>'Tiktok Raw Data'!B186</f>
        <v>84455</v>
      </c>
      <c r="D186" s="17">
        <f t="shared" si="2"/>
        <v>0.02002249719</v>
      </c>
      <c r="E186" s="12">
        <f>'Tiktok Raw Data'!C186</f>
        <v>1691</v>
      </c>
      <c r="F186" s="19">
        <f t="shared" si="3"/>
        <v>0.6315789474</v>
      </c>
      <c r="G186" s="19">
        <f t="shared" si="4"/>
        <v>12.6457877</v>
      </c>
      <c r="H186" s="19">
        <f>'Tiktok Raw Data'!D186</f>
        <v>1068</v>
      </c>
      <c r="I186" s="17">
        <f t="shared" si="5"/>
        <v>0.01241868717</v>
      </c>
      <c r="J186" s="20">
        <f>'Tiktok Raw Data'!E186</f>
        <v>21</v>
      </c>
      <c r="K186" s="19">
        <f t="shared" si="6"/>
        <v>206</v>
      </c>
      <c r="L186" s="19">
        <f>'Tiktok Raw Data'!F186</f>
        <v>4326</v>
      </c>
    </row>
    <row r="187">
      <c r="A187" s="11">
        <f>'Tiktok Raw Data'!A187</f>
        <v>45843</v>
      </c>
      <c r="B187" s="14">
        <f t="shared" si="1"/>
        <v>7</v>
      </c>
      <c r="C187" s="12">
        <f>'Tiktok Raw Data'!B187</f>
        <v>92695</v>
      </c>
      <c r="D187" s="17">
        <f t="shared" si="2"/>
        <v>0.03306542963</v>
      </c>
      <c r="E187" s="12">
        <f>'Tiktok Raw Data'!C187</f>
        <v>3065</v>
      </c>
      <c r="F187" s="19">
        <f t="shared" si="3"/>
        <v>0.8923327896</v>
      </c>
      <c r="G187" s="19">
        <f t="shared" si="4"/>
        <v>29.50536706</v>
      </c>
      <c r="H187" s="19">
        <f>'Tiktok Raw Data'!D187</f>
        <v>2735</v>
      </c>
      <c r="I187" s="17">
        <f t="shared" si="5"/>
        <v>0.01370309951</v>
      </c>
      <c r="J187" s="20">
        <f>'Tiktok Raw Data'!E187</f>
        <v>42</v>
      </c>
      <c r="K187" s="19">
        <f t="shared" si="6"/>
        <v>118.9285714</v>
      </c>
      <c r="L187" s="19">
        <f>'Tiktok Raw Data'!F187</f>
        <v>4995</v>
      </c>
    </row>
    <row r="188">
      <c r="A188" s="11">
        <f>'Tiktok Raw Data'!A188</f>
        <v>45844</v>
      </c>
      <c r="B188" s="14">
        <f t="shared" si="1"/>
        <v>7</v>
      </c>
      <c r="C188" s="12">
        <f>'Tiktok Raw Data'!B188</f>
        <v>32267</v>
      </c>
      <c r="D188" s="17">
        <f t="shared" si="2"/>
        <v>0.02129110236</v>
      </c>
      <c r="E188" s="12">
        <f>'Tiktok Raw Data'!C188</f>
        <v>687</v>
      </c>
      <c r="F188" s="19">
        <f t="shared" si="3"/>
        <v>0.8398835517</v>
      </c>
      <c r="G188" s="19">
        <f t="shared" si="4"/>
        <v>17.88204667</v>
      </c>
      <c r="H188" s="19">
        <f>'Tiktok Raw Data'!D188</f>
        <v>577</v>
      </c>
      <c r="I188" s="17">
        <f t="shared" si="5"/>
        <v>0.01892285298</v>
      </c>
      <c r="J188" s="20">
        <f>'Tiktok Raw Data'!E188</f>
        <v>13</v>
      </c>
      <c r="K188" s="19">
        <f t="shared" si="6"/>
        <v>85.92307692</v>
      </c>
      <c r="L188" s="19">
        <f>'Tiktok Raw Data'!F188</f>
        <v>1117</v>
      </c>
    </row>
    <row r="189">
      <c r="A189" s="11">
        <f>'Tiktok Raw Data'!A189</f>
        <v>45845</v>
      </c>
      <c r="B189" s="14">
        <f t="shared" si="1"/>
        <v>7</v>
      </c>
      <c r="C189" s="12">
        <f>'Tiktok Raw Data'!B189</f>
        <v>49360</v>
      </c>
      <c r="D189" s="17">
        <f t="shared" si="2"/>
        <v>0.0279376013</v>
      </c>
      <c r="E189" s="12">
        <f>'Tiktok Raw Data'!C189</f>
        <v>1379</v>
      </c>
      <c r="F189" s="19">
        <f t="shared" si="3"/>
        <v>0.9470630892</v>
      </c>
      <c r="G189" s="19">
        <f t="shared" si="4"/>
        <v>26.45867099</v>
      </c>
      <c r="H189" s="19">
        <f>'Tiktok Raw Data'!D189</f>
        <v>1306</v>
      </c>
      <c r="I189" s="17">
        <f t="shared" si="5"/>
        <v>0.02393038434</v>
      </c>
      <c r="J189" s="20">
        <f>'Tiktok Raw Data'!E189</f>
        <v>33</v>
      </c>
      <c r="K189" s="19">
        <f t="shared" si="6"/>
        <v>151.6969697</v>
      </c>
      <c r="L189" s="19">
        <f>'Tiktok Raw Data'!F189</f>
        <v>5006</v>
      </c>
    </row>
    <row r="190">
      <c r="A190" s="11">
        <f>'Tiktok Raw Data'!A190</f>
        <v>45846</v>
      </c>
      <c r="B190" s="14">
        <f t="shared" si="1"/>
        <v>7</v>
      </c>
      <c r="C190" s="12">
        <f>'Tiktok Raw Data'!B190</f>
        <v>89246</v>
      </c>
      <c r="D190" s="17">
        <f t="shared" si="2"/>
        <v>0.01982161666</v>
      </c>
      <c r="E190" s="12">
        <f>'Tiktok Raw Data'!C190</f>
        <v>1769</v>
      </c>
      <c r="F190" s="19">
        <f t="shared" si="3"/>
        <v>1.300734878</v>
      </c>
      <c r="G190" s="19">
        <f t="shared" si="4"/>
        <v>25.78266813</v>
      </c>
      <c r="H190" s="19">
        <f>'Tiktok Raw Data'!D190</f>
        <v>2301</v>
      </c>
      <c r="I190" s="17">
        <f t="shared" si="5"/>
        <v>0.02148106275</v>
      </c>
      <c r="J190" s="20">
        <f>'Tiktok Raw Data'!E190</f>
        <v>38</v>
      </c>
      <c r="K190" s="19">
        <f t="shared" si="6"/>
        <v>111.2894737</v>
      </c>
      <c r="L190" s="19">
        <f>'Tiktok Raw Data'!F190</f>
        <v>4229</v>
      </c>
    </row>
    <row r="191">
      <c r="A191" s="11">
        <f>'Tiktok Raw Data'!A191</f>
        <v>45847</v>
      </c>
      <c r="B191" s="14">
        <f t="shared" si="1"/>
        <v>7</v>
      </c>
      <c r="C191" s="12">
        <f>'Tiktok Raw Data'!B191</f>
        <v>65614</v>
      </c>
      <c r="D191" s="17">
        <f t="shared" si="2"/>
        <v>0.01667327095</v>
      </c>
      <c r="E191" s="12">
        <f>'Tiktok Raw Data'!C191</f>
        <v>1094</v>
      </c>
      <c r="F191" s="19">
        <f t="shared" si="3"/>
        <v>1.205667276</v>
      </c>
      <c r="G191" s="19">
        <f t="shared" si="4"/>
        <v>20.10241717</v>
      </c>
      <c r="H191" s="19">
        <f>'Tiktok Raw Data'!D191</f>
        <v>1319</v>
      </c>
      <c r="I191" s="17">
        <f t="shared" si="5"/>
        <v>0.02010968921</v>
      </c>
      <c r="J191" s="20">
        <f>'Tiktok Raw Data'!E191</f>
        <v>22</v>
      </c>
      <c r="K191" s="19">
        <f t="shared" si="6"/>
        <v>115.3181818</v>
      </c>
      <c r="L191" s="19">
        <f>'Tiktok Raw Data'!F191</f>
        <v>2537</v>
      </c>
    </row>
    <row r="192">
      <c r="A192" s="11">
        <f>'Tiktok Raw Data'!A192</f>
        <v>45848</v>
      </c>
      <c r="B192" s="14">
        <f t="shared" si="1"/>
        <v>7</v>
      </c>
      <c r="C192" s="12">
        <f>'Tiktok Raw Data'!B192</f>
        <v>66173</v>
      </c>
      <c r="D192" s="17">
        <f t="shared" si="2"/>
        <v>0.03042026204</v>
      </c>
      <c r="E192" s="12">
        <f>'Tiktok Raw Data'!C192</f>
        <v>2013</v>
      </c>
      <c r="F192" s="19">
        <f t="shared" si="3"/>
        <v>0.8022851465</v>
      </c>
      <c r="G192" s="19">
        <f t="shared" si="4"/>
        <v>24.40572439</v>
      </c>
      <c r="H192" s="19">
        <f>'Tiktok Raw Data'!D192</f>
        <v>1615</v>
      </c>
      <c r="I192" s="17">
        <f t="shared" si="5"/>
        <v>0.01341281669</v>
      </c>
      <c r="J192" s="20">
        <f>'Tiktok Raw Data'!E192</f>
        <v>27</v>
      </c>
      <c r="K192" s="19">
        <f t="shared" si="6"/>
        <v>125.962963</v>
      </c>
      <c r="L192" s="19">
        <f>'Tiktok Raw Data'!F192</f>
        <v>3401</v>
      </c>
    </row>
    <row r="193">
      <c r="A193" s="11">
        <f>'Tiktok Raw Data'!A193</f>
        <v>45849</v>
      </c>
      <c r="B193" s="14">
        <f t="shared" si="1"/>
        <v>7</v>
      </c>
      <c r="C193" s="12">
        <f>'Tiktok Raw Data'!B193</f>
        <v>118239</v>
      </c>
      <c r="D193" s="17">
        <f t="shared" si="2"/>
        <v>0.01479207368</v>
      </c>
      <c r="E193" s="12">
        <f>'Tiktok Raw Data'!C193</f>
        <v>1749</v>
      </c>
      <c r="F193" s="19">
        <f t="shared" si="3"/>
        <v>0.7192681532</v>
      </c>
      <c r="G193" s="19">
        <f t="shared" si="4"/>
        <v>10.63946752</v>
      </c>
      <c r="H193" s="19">
        <f>'Tiktok Raw Data'!D193</f>
        <v>1258</v>
      </c>
      <c r="I193" s="17">
        <f t="shared" si="5"/>
        <v>0.01486563751</v>
      </c>
      <c r="J193" s="20">
        <f>'Tiktok Raw Data'!E193</f>
        <v>26</v>
      </c>
      <c r="K193" s="19">
        <f t="shared" si="6"/>
        <v>172.7692308</v>
      </c>
      <c r="L193" s="19">
        <f>'Tiktok Raw Data'!F193</f>
        <v>4492</v>
      </c>
    </row>
    <row r="194">
      <c r="A194" s="11">
        <f>'Tiktok Raw Data'!A194</f>
        <v>45850</v>
      </c>
      <c r="B194" s="14">
        <f t="shared" si="1"/>
        <v>7</v>
      </c>
      <c r="C194" s="12">
        <f>'Tiktok Raw Data'!B194</f>
        <v>139914</v>
      </c>
      <c r="D194" s="17">
        <f t="shared" si="2"/>
        <v>0.03363494718</v>
      </c>
      <c r="E194" s="12">
        <f>'Tiktok Raw Data'!C194</f>
        <v>4706</v>
      </c>
      <c r="F194" s="19">
        <f t="shared" si="3"/>
        <v>0.6776455589</v>
      </c>
      <c r="G194" s="19">
        <f t="shared" si="4"/>
        <v>22.79257258</v>
      </c>
      <c r="H194" s="19">
        <f>'Tiktok Raw Data'!D194</f>
        <v>3189</v>
      </c>
      <c r="I194" s="17">
        <f t="shared" si="5"/>
        <v>0.01997450064</v>
      </c>
      <c r="J194" s="20">
        <f>'Tiktok Raw Data'!E194</f>
        <v>94</v>
      </c>
      <c r="K194" s="19">
        <f t="shared" si="6"/>
        <v>165.9255319</v>
      </c>
      <c r="L194" s="19">
        <f>'Tiktok Raw Data'!F194</f>
        <v>15597</v>
      </c>
    </row>
    <row r="195">
      <c r="A195" s="11">
        <f>'Tiktok Raw Data'!A195</f>
        <v>45851</v>
      </c>
      <c r="B195" s="14">
        <f t="shared" si="1"/>
        <v>7</v>
      </c>
      <c r="C195" s="12">
        <f>'Tiktok Raw Data'!B195</f>
        <v>62911</v>
      </c>
      <c r="D195" s="17">
        <f t="shared" si="2"/>
        <v>0.02648185532</v>
      </c>
      <c r="E195" s="12">
        <f>'Tiktok Raw Data'!C195</f>
        <v>1666</v>
      </c>
      <c r="F195" s="19">
        <f t="shared" si="3"/>
        <v>0.981392557</v>
      </c>
      <c r="G195" s="19">
        <f t="shared" si="4"/>
        <v>25.98909571</v>
      </c>
      <c r="H195" s="19">
        <f>'Tiktok Raw Data'!D195</f>
        <v>1635</v>
      </c>
      <c r="I195" s="17">
        <f t="shared" si="5"/>
        <v>0.01860744298</v>
      </c>
      <c r="J195" s="20">
        <f>'Tiktok Raw Data'!E195</f>
        <v>31</v>
      </c>
      <c r="K195" s="19">
        <f t="shared" si="6"/>
        <v>231.3225806</v>
      </c>
      <c r="L195" s="19">
        <f>'Tiktok Raw Data'!F195</f>
        <v>7171</v>
      </c>
    </row>
    <row r="196">
      <c r="A196" s="11">
        <f>'Tiktok Raw Data'!A196</f>
        <v>45852</v>
      </c>
      <c r="B196" s="14">
        <f t="shared" si="1"/>
        <v>7</v>
      </c>
      <c r="C196" s="12">
        <f>'Tiktok Raw Data'!B196</f>
        <v>84932</v>
      </c>
      <c r="D196" s="17">
        <f t="shared" si="2"/>
        <v>0.01395233834</v>
      </c>
      <c r="E196" s="12">
        <f>'Tiktok Raw Data'!C196</f>
        <v>1185</v>
      </c>
      <c r="F196" s="19">
        <f t="shared" si="3"/>
        <v>0.8227848101</v>
      </c>
      <c r="G196" s="19">
        <f t="shared" si="4"/>
        <v>11.47977205</v>
      </c>
      <c r="H196" s="19">
        <f>'Tiktok Raw Data'!D196</f>
        <v>975</v>
      </c>
      <c r="I196" s="17">
        <f t="shared" si="5"/>
        <v>0.01856540084</v>
      </c>
      <c r="J196" s="20">
        <f>'Tiktok Raw Data'!E196</f>
        <v>22</v>
      </c>
      <c r="K196" s="19">
        <f t="shared" si="6"/>
        <v>167.2727273</v>
      </c>
      <c r="L196" s="19">
        <f>'Tiktok Raw Data'!F196</f>
        <v>3680</v>
      </c>
    </row>
    <row r="197">
      <c r="A197" s="11">
        <f>'Tiktok Raw Data'!A197</f>
        <v>45853</v>
      </c>
      <c r="B197" s="14">
        <f t="shared" si="1"/>
        <v>7</v>
      </c>
      <c r="C197" s="12">
        <f>'Tiktok Raw Data'!B197</f>
        <v>93609</v>
      </c>
      <c r="D197" s="17">
        <f t="shared" si="2"/>
        <v>0.01711373906</v>
      </c>
      <c r="E197" s="12">
        <f>'Tiktok Raw Data'!C197</f>
        <v>1602</v>
      </c>
      <c r="F197" s="19">
        <f t="shared" si="3"/>
        <v>1.168539326</v>
      </c>
      <c r="G197" s="19">
        <f t="shared" si="4"/>
        <v>19.99807711</v>
      </c>
      <c r="H197" s="19">
        <f>'Tiktok Raw Data'!D197</f>
        <v>1872</v>
      </c>
      <c r="I197" s="17">
        <f t="shared" si="5"/>
        <v>0.02184769039</v>
      </c>
      <c r="J197" s="20">
        <f>'Tiktok Raw Data'!E197</f>
        <v>35</v>
      </c>
      <c r="K197" s="19">
        <f t="shared" si="6"/>
        <v>154.9714286</v>
      </c>
      <c r="L197" s="19">
        <f>'Tiktok Raw Data'!F197</f>
        <v>5424</v>
      </c>
    </row>
    <row r="198">
      <c r="A198" s="11">
        <f>'Tiktok Raw Data'!A198</f>
        <v>45854</v>
      </c>
      <c r="B198" s="14">
        <f t="shared" si="1"/>
        <v>7</v>
      </c>
      <c r="C198" s="12">
        <f>'Tiktok Raw Data'!B198</f>
        <v>124150</v>
      </c>
      <c r="D198" s="17">
        <f t="shared" si="2"/>
        <v>0.02753926702</v>
      </c>
      <c r="E198" s="12">
        <f>'Tiktok Raw Data'!C198</f>
        <v>3419</v>
      </c>
      <c r="F198" s="19">
        <f t="shared" si="3"/>
        <v>0.8198303598</v>
      </c>
      <c r="G198" s="19">
        <f t="shared" si="4"/>
        <v>22.57752718</v>
      </c>
      <c r="H198" s="19">
        <f>'Tiktok Raw Data'!D198</f>
        <v>2803</v>
      </c>
      <c r="I198" s="17">
        <f t="shared" si="5"/>
        <v>0.02222872185</v>
      </c>
      <c r="J198" s="20">
        <f>'Tiktok Raw Data'!E198</f>
        <v>76</v>
      </c>
      <c r="K198" s="19">
        <f t="shared" si="6"/>
        <v>153.1315789</v>
      </c>
      <c r="L198" s="19">
        <f>'Tiktok Raw Data'!F198</f>
        <v>11638</v>
      </c>
    </row>
    <row r="199">
      <c r="A199" s="11">
        <f>'Tiktok Raw Data'!A199</f>
        <v>45855</v>
      </c>
      <c r="B199" s="14">
        <f t="shared" si="1"/>
        <v>7</v>
      </c>
      <c r="C199" s="12">
        <f>'Tiktok Raw Data'!B199</f>
        <v>74860</v>
      </c>
      <c r="D199" s="17">
        <f t="shared" si="2"/>
        <v>0.02404488378</v>
      </c>
      <c r="E199" s="12">
        <f>'Tiktok Raw Data'!C199</f>
        <v>1800</v>
      </c>
      <c r="F199" s="19">
        <f t="shared" si="3"/>
        <v>0.9483333333</v>
      </c>
      <c r="G199" s="19">
        <f t="shared" si="4"/>
        <v>22.80256479</v>
      </c>
      <c r="H199" s="19">
        <f>'Tiktok Raw Data'!D199</f>
        <v>1707</v>
      </c>
      <c r="I199" s="17">
        <f t="shared" si="5"/>
        <v>0.01666666667</v>
      </c>
      <c r="J199" s="20">
        <f>'Tiktok Raw Data'!E199</f>
        <v>30</v>
      </c>
      <c r="K199" s="19">
        <f t="shared" si="6"/>
        <v>189.2666667</v>
      </c>
      <c r="L199" s="19">
        <f>'Tiktok Raw Data'!F199</f>
        <v>5678</v>
      </c>
    </row>
    <row r="200">
      <c r="A200" s="11">
        <f>'Tiktok Raw Data'!A200</f>
        <v>45856</v>
      </c>
      <c r="B200" s="14">
        <f t="shared" si="1"/>
        <v>7</v>
      </c>
      <c r="C200" s="12">
        <f>'Tiktok Raw Data'!B200</f>
        <v>96309</v>
      </c>
      <c r="D200" s="17">
        <f t="shared" si="2"/>
        <v>0.02611386267</v>
      </c>
      <c r="E200" s="12">
        <f>'Tiktok Raw Data'!C200</f>
        <v>2515</v>
      </c>
      <c r="F200" s="19">
        <f t="shared" si="3"/>
        <v>1.036182903</v>
      </c>
      <c r="G200" s="19">
        <f t="shared" si="4"/>
        <v>27.05873802</v>
      </c>
      <c r="H200" s="19">
        <f>'Tiktok Raw Data'!D200</f>
        <v>2606</v>
      </c>
      <c r="I200" s="17">
        <f t="shared" si="5"/>
        <v>0.01192842942</v>
      </c>
      <c r="J200" s="20">
        <f>'Tiktok Raw Data'!E200</f>
        <v>30</v>
      </c>
      <c r="K200" s="19">
        <f t="shared" si="6"/>
        <v>116.1666667</v>
      </c>
      <c r="L200" s="19">
        <f>'Tiktok Raw Data'!F200</f>
        <v>3485</v>
      </c>
    </row>
    <row r="201">
      <c r="A201" s="11">
        <f>'Tiktok Raw Data'!A201</f>
        <v>45857</v>
      </c>
      <c r="B201" s="14">
        <f t="shared" si="1"/>
        <v>7</v>
      </c>
      <c r="C201" s="12">
        <f>'Tiktok Raw Data'!B201</f>
        <v>48436</v>
      </c>
      <c r="D201" s="17">
        <f t="shared" si="2"/>
        <v>0.0161037245</v>
      </c>
      <c r="E201" s="12">
        <f>'Tiktok Raw Data'!C201</f>
        <v>780</v>
      </c>
      <c r="F201" s="19">
        <f t="shared" si="3"/>
        <v>0.5897435897</v>
      </c>
      <c r="G201" s="19">
        <f t="shared" si="4"/>
        <v>9.497068296</v>
      </c>
      <c r="H201" s="19">
        <f>'Tiktok Raw Data'!D201</f>
        <v>460</v>
      </c>
      <c r="I201" s="17">
        <f t="shared" si="5"/>
        <v>0.01923076923</v>
      </c>
      <c r="J201" s="20">
        <f>'Tiktok Raw Data'!E201</f>
        <v>15</v>
      </c>
      <c r="K201" s="19">
        <f t="shared" si="6"/>
        <v>140</v>
      </c>
      <c r="L201" s="19">
        <f>'Tiktok Raw Data'!F201</f>
        <v>2100</v>
      </c>
    </row>
    <row r="202">
      <c r="A202" s="11">
        <f>'Tiktok Raw Data'!A202</f>
        <v>45858</v>
      </c>
      <c r="B202" s="14">
        <f t="shared" si="1"/>
        <v>7</v>
      </c>
      <c r="C202" s="12">
        <f>'Tiktok Raw Data'!B202</f>
        <v>53788</v>
      </c>
      <c r="D202" s="17">
        <f t="shared" si="2"/>
        <v>0.0261210679</v>
      </c>
      <c r="E202" s="12">
        <f>'Tiktok Raw Data'!C202</f>
        <v>1405</v>
      </c>
      <c r="F202" s="19">
        <f t="shared" si="3"/>
        <v>0.8498220641</v>
      </c>
      <c r="G202" s="19">
        <f t="shared" si="4"/>
        <v>22.19825983</v>
      </c>
      <c r="H202" s="19">
        <f>'Tiktok Raw Data'!D202</f>
        <v>1194</v>
      </c>
      <c r="I202" s="17">
        <f t="shared" si="5"/>
        <v>0.01494661922</v>
      </c>
      <c r="J202" s="20">
        <f>'Tiktok Raw Data'!E202</f>
        <v>21</v>
      </c>
      <c r="K202" s="19">
        <f t="shared" si="6"/>
        <v>168.4285714</v>
      </c>
      <c r="L202" s="19">
        <f>'Tiktok Raw Data'!F202</f>
        <v>3537</v>
      </c>
    </row>
    <row r="203">
      <c r="A203" s="11">
        <f>'Tiktok Raw Data'!A203</f>
        <v>45859</v>
      </c>
      <c r="B203" s="14">
        <f t="shared" si="1"/>
        <v>7</v>
      </c>
      <c r="C203" s="12">
        <f>'Tiktok Raw Data'!B203</f>
        <v>44345</v>
      </c>
      <c r="D203" s="17">
        <f t="shared" si="2"/>
        <v>0.009899650468</v>
      </c>
      <c r="E203" s="12">
        <f>'Tiktok Raw Data'!C203</f>
        <v>439</v>
      </c>
      <c r="F203" s="19">
        <f t="shared" si="3"/>
        <v>0.715261959</v>
      </c>
      <c r="G203" s="19">
        <f t="shared" si="4"/>
        <v>7.080843387</v>
      </c>
      <c r="H203" s="19">
        <f>'Tiktok Raw Data'!D203</f>
        <v>314</v>
      </c>
      <c r="I203" s="17">
        <f t="shared" si="5"/>
        <v>0.02050113895</v>
      </c>
      <c r="J203" s="20">
        <f>'Tiktok Raw Data'!E203</f>
        <v>9</v>
      </c>
      <c r="K203" s="19">
        <f t="shared" si="6"/>
        <v>143.7777778</v>
      </c>
      <c r="L203" s="19">
        <f>'Tiktok Raw Data'!F203</f>
        <v>1294</v>
      </c>
    </row>
    <row r="204">
      <c r="A204" s="11">
        <f>'Tiktok Raw Data'!A204</f>
        <v>45860</v>
      </c>
      <c r="B204" s="14">
        <f t="shared" si="1"/>
        <v>7</v>
      </c>
      <c r="C204" s="12">
        <f>'Tiktok Raw Data'!B204</f>
        <v>42269</v>
      </c>
      <c r="D204" s="17">
        <f t="shared" si="2"/>
        <v>0.01400553597</v>
      </c>
      <c r="E204" s="12">
        <f>'Tiktok Raw Data'!C204</f>
        <v>592</v>
      </c>
      <c r="F204" s="19">
        <f t="shared" si="3"/>
        <v>1.060810811</v>
      </c>
      <c r="G204" s="19">
        <f t="shared" si="4"/>
        <v>14.85722397</v>
      </c>
      <c r="H204" s="19">
        <f>'Tiktok Raw Data'!D204</f>
        <v>628</v>
      </c>
      <c r="I204" s="17">
        <f t="shared" si="5"/>
        <v>0.01182432432</v>
      </c>
      <c r="J204" s="20">
        <f>'Tiktok Raw Data'!E204</f>
        <v>7</v>
      </c>
      <c r="K204" s="19">
        <f t="shared" si="6"/>
        <v>129.7142857</v>
      </c>
      <c r="L204" s="19">
        <f>'Tiktok Raw Data'!F204</f>
        <v>908</v>
      </c>
    </row>
    <row r="205">
      <c r="A205" s="11">
        <f>'Tiktok Raw Data'!A205</f>
        <v>45861</v>
      </c>
      <c r="B205" s="14">
        <f t="shared" si="1"/>
        <v>7</v>
      </c>
      <c r="C205" s="12">
        <f>'Tiktok Raw Data'!B205</f>
        <v>36574</v>
      </c>
      <c r="D205" s="17">
        <f t="shared" si="2"/>
        <v>0.01673319845</v>
      </c>
      <c r="E205" s="12">
        <f>'Tiktok Raw Data'!C205</f>
        <v>612</v>
      </c>
      <c r="F205" s="19">
        <f t="shared" si="3"/>
        <v>0.9918300654</v>
      </c>
      <c r="G205" s="19">
        <f t="shared" si="4"/>
        <v>16.59648931</v>
      </c>
      <c r="H205" s="19">
        <f>'Tiktok Raw Data'!D205</f>
        <v>607</v>
      </c>
      <c r="I205" s="17">
        <f t="shared" si="5"/>
        <v>0.01633986928</v>
      </c>
      <c r="J205" s="20">
        <f>'Tiktok Raw Data'!E205</f>
        <v>10</v>
      </c>
      <c r="K205" s="19">
        <f t="shared" si="6"/>
        <v>256.9</v>
      </c>
      <c r="L205" s="19">
        <f>'Tiktok Raw Data'!F205</f>
        <v>2569</v>
      </c>
    </row>
    <row r="206">
      <c r="A206" s="11">
        <f>'Tiktok Raw Data'!A206</f>
        <v>45862</v>
      </c>
      <c r="B206" s="14">
        <f t="shared" si="1"/>
        <v>7</v>
      </c>
      <c r="C206" s="12">
        <f>'Tiktok Raw Data'!B206</f>
        <v>126874</v>
      </c>
      <c r="D206" s="17">
        <f t="shared" si="2"/>
        <v>0.02254204959</v>
      </c>
      <c r="E206" s="12">
        <f>'Tiktok Raw Data'!C206</f>
        <v>2860</v>
      </c>
      <c r="F206" s="19">
        <f t="shared" si="3"/>
        <v>0.6625874126</v>
      </c>
      <c r="G206" s="19">
        <f t="shared" si="4"/>
        <v>14.93607831</v>
      </c>
      <c r="H206" s="19">
        <f>'Tiktok Raw Data'!D206</f>
        <v>1895</v>
      </c>
      <c r="I206" s="17">
        <f t="shared" si="5"/>
        <v>0.01713286713</v>
      </c>
      <c r="J206" s="20">
        <f>'Tiktok Raw Data'!E206</f>
        <v>49</v>
      </c>
      <c r="K206" s="19">
        <f t="shared" si="6"/>
        <v>124.7755102</v>
      </c>
      <c r="L206" s="19">
        <f>'Tiktok Raw Data'!F206</f>
        <v>6114</v>
      </c>
    </row>
    <row r="207">
      <c r="A207" s="11">
        <f>'Tiktok Raw Data'!A207</f>
        <v>45863</v>
      </c>
      <c r="B207" s="14">
        <f t="shared" si="1"/>
        <v>7</v>
      </c>
      <c r="C207" s="12">
        <f>'Tiktok Raw Data'!B207</f>
        <v>56370</v>
      </c>
      <c r="D207" s="17">
        <f t="shared" si="2"/>
        <v>0.01108745787</v>
      </c>
      <c r="E207" s="12">
        <f>'Tiktok Raw Data'!C207</f>
        <v>625</v>
      </c>
      <c r="F207" s="19">
        <f t="shared" si="3"/>
        <v>0.6976</v>
      </c>
      <c r="G207" s="19">
        <f t="shared" si="4"/>
        <v>7.734610608</v>
      </c>
      <c r="H207" s="19">
        <f>'Tiktok Raw Data'!D207</f>
        <v>436</v>
      </c>
      <c r="I207" s="17">
        <f t="shared" si="5"/>
        <v>0.0176</v>
      </c>
      <c r="J207" s="20">
        <f>'Tiktok Raw Data'!E207</f>
        <v>11</v>
      </c>
      <c r="K207" s="19">
        <f t="shared" si="6"/>
        <v>235.9090909</v>
      </c>
      <c r="L207" s="19">
        <f>'Tiktok Raw Data'!F207</f>
        <v>2595</v>
      </c>
    </row>
    <row r="208">
      <c r="A208" s="11">
        <f>'Tiktok Raw Data'!A208</f>
        <v>45864</v>
      </c>
      <c r="B208" s="14">
        <f t="shared" si="1"/>
        <v>7</v>
      </c>
      <c r="C208" s="12">
        <f>'Tiktok Raw Data'!B208</f>
        <v>35524</v>
      </c>
      <c r="D208" s="17">
        <f t="shared" si="2"/>
        <v>0.01528544083</v>
      </c>
      <c r="E208" s="12">
        <f>'Tiktok Raw Data'!C208</f>
        <v>543</v>
      </c>
      <c r="F208" s="19">
        <f t="shared" si="3"/>
        <v>0.8581952118</v>
      </c>
      <c r="G208" s="19">
        <f t="shared" si="4"/>
        <v>13.11789213</v>
      </c>
      <c r="H208" s="19">
        <f>'Tiktok Raw Data'!D208</f>
        <v>466</v>
      </c>
      <c r="I208" s="17">
        <f t="shared" si="5"/>
        <v>0.02394106814</v>
      </c>
      <c r="J208" s="20">
        <f>'Tiktok Raw Data'!E208</f>
        <v>13</v>
      </c>
      <c r="K208" s="19">
        <f t="shared" si="6"/>
        <v>134.3076923</v>
      </c>
      <c r="L208" s="19">
        <f>'Tiktok Raw Data'!F208</f>
        <v>1746</v>
      </c>
    </row>
    <row r="209">
      <c r="A209" s="11">
        <f>'Tiktok Raw Data'!A209</f>
        <v>45865</v>
      </c>
      <c r="B209" s="14">
        <f t="shared" si="1"/>
        <v>7</v>
      </c>
      <c r="C209" s="12">
        <f>'Tiktok Raw Data'!B209</f>
        <v>85624</v>
      </c>
      <c r="D209" s="17">
        <f t="shared" si="2"/>
        <v>0.03054050266</v>
      </c>
      <c r="E209" s="12">
        <f>'Tiktok Raw Data'!C209</f>
        <v>2615</v>
      </c>
      <c r="F209" s="19">
        <f t="shared" si="3"/>
        <v>0.9571701721</v>
      </c>
      <c r="G209" s="19">
        <f t="shared" si="4"/>
        <v>29.23245819</v>
      </c>
      <c r="H209" s="19">
        <f>'Tiktok Raw Data'!D209</f>
        <v>2503</v>
      </c>
      <c r="I209" s="17">
        <f t="shared" si="5"/>
        <v>0.01070745698</v>
      </c>
      <c r="J209" s="20">
        <f>'Tiktok Raw Data'!E209</f>
        <v>28</v>
      </c>
      <c r="K209" s="19">
        <f t="shared" si="6"/>
        <v>165.2857143</v>
      </c>
      <c r="L209" s="19">
        <f>'Tiktok Raw Data'!F209</f>
        <v>4628</v>
      </c>
    </row>
    <row r="210">
      <c r="A210" s="11">
        <f>'Tiktok Raw Data'!A210</f>
        <v>45866</v>
      </c>
      <c r="B210" s="14">
        <f t="shared" si="1"/>
        <v>7</v>
      </c>
      <c r="C210" s="12">
        <f>'Tiktok Raw Data'!B210</f>
        <v>114146</v>
      </c>
      <c r="D210" s="17">
        <f t="shared" si="2"/>
        <v>0.01710966657</v>
      </c>
      <c r="E210" s="12">
        <f>'Tiktok Raw Data'!C210</f>
        <v>1953</v>
      </c>
      <c r="F210" s="19">
        <f t="shared" si="3"/>
        <v>0.8934971838</v>
      </c>
      <c r="G210" s="19">
        <f t="shared" si="4"/>
        <v>15.28743889</v>
      </c>
      <c r="H210" s="19">
        <f>'Tiktok Raw Data'!D210</f>
        <v>1745</v>
      </c>
      <c r="I210" s="17">
        <f t="shared" si="5"/>
        <v>0.01792114695</v>
      </c>
      <c r="J210" s="20">
        <f>'Tiktok Raw Data'!E210</f>
        <v>35</v>
      </c>
      <c r="K210" s="19">
        <f t="shared" si="6"/>
        <v>103.1142857</v>
      </c>
      <c r="L210" s="19">
        <f>'Tiktok Raw Data'!F210</f>
        <v>3609</v>
      </c>
    </row>
    <row r="211">
      <c r="A211" s="11">
        <f>'Tiktok Raw Data'!A211</f>
        <v>45867</v>
      </c>
      <c r="B211" s="14">
        <f t="shared" si="1"/>
        <v>7</v>
      </c>
      <c r="C211" s="12">
        <f>'Tiktok Raw Data'!B211</f>
        <v>60645</v>
      </c>
      <c r="D211" s="17">
        <f t="shared" si="2"/>
        <v>0.02709209333</v>
      </c>
      <c r="E211" s="12">
        <f>'Tiktok Raw Data'!C211</f>
        <v>1643</v>
      </c>
      <c r="F211" s="19">
        <f t="shared" si="3"/>
        <v>0.628119294</v>
      </c>
      <c r="G211" s="19">
        <f t="shared" si="4"/>
        <v>17.01706653</v>
      </c>
      <c r="H211" s="19">
        <f>'Tiktok Raw Data'!D211</f>
        <v>1032</v>
      </c>
      <c r="I211" s="17">
        <f t="shared" si="5"/>
        <v>0.01521606817</v>
      </c>
      <c r="J211" s="20">
        <f>'Tiktok Raw Data'!E211</f>
        <v>25</v>
      </c>
      <c r="K211" s="19">
        <f t="shared" si="6"/>
        <v>176.56</v>
      </c>
      <c r="L211" s="19">
        <f>'Tiktok Raw Data'!F211</f>
        <v>4414</v>
      </c>
    </row>
    <row r="212">
      <c r="A212" s="11">
        <f>'Tiktok Raw Data'!A212</f>
        <v>45868</v>
      </c>
      <c r="B212" s="14">
        <f t="shared" si="1"/>
        <v>7</v>
      </c>
      <c r="C212" s="12">
        <f>'Tiktok Raw Data'!B212</f>
        <v>72672</v>
      </c>
      <c r="D212" s="17">
        <f t="shared" si="2"/>
        <v>0.01739321885</v>
      </c>
      <c r="E212" s="12">
        <f>'Tiktok Raw Data'!C212</f>
        <v>1264</v>
      </c>
      <c r="F212" s="19">
        <f t="shared" si="3"/>
        <v>0.6669303797</v>
      </c>
      <c r="G212" s="19">
        <f t="shared" si="4"/>
        <v>11.60006605</v>
      </c>
      <c r="H212" s="19">
        <f>'Tiktok Raw Data'!D212</f>
        <v>843</v>
      </c>
      <c r="I212" s="17">
        <f t="shared" si="5"/>
        <v>0.01582278481</v>
      </c>
      <c r="J212" s="20">
        <f>'Tiktok Raw Data'!E212</f>
        <v>20</v>
      </c>
      <c r="K212" s="19">
        <f t="shared" si="6"/>
        <v>192.35</v>
      </c>
      <c r="L212" s="19">
        <f>'Tiktok Raw Data'!F212</f>
        <v>3847</v>
      </c>
    </row>
    <row r="213">
      <c r="A213" s="11">
        <f>'Tiktok Raw Data'!A213</f>
        <v>45869</v>
      </c>
      <c r="B213" s="14">
        <f t="shared" si="1"/>
        <v>7</v>
      </c>
      <c r="C213" s="12">
        <f>'Tiktok Raw Data'!B213</f>
        <v>56801</v>
      </c>
      <c r="D213" s="17">
        <f t="shared" si="2"/>
        <v>0.02366155525</v>
      </c>
      <c r="E213" s="12">
        <f>'Tiktok Raw Data'!C213</f>
        <v>1344</v>
      </c>
      <c r="F213" s="19">
        <f t="shared" si="3"/>
        <v>1.107142857</v>
      </c>
      <c r="G213" s="19">
        <f t="shared" si="4"/>
        <v>26.19672189</v>
      </c>
      <c r="H213" s="19">
        <f>'Tiktok Raw Data'!D213</f>
        <v>1488</v>
      </c>
      <c r="I213" s="17">
        <f t="shared" si="5"/>
        <v>0.02008928571</v>
      </c>
      <c r="J213" s="20">
        <f>'Tiktok Raw Data'!E213</f>
        <v>27</v>
      </c>
      <c r="K213" s="19">
        <f t="shared" si="6"/>
        <v>174.0740741</v>
      </c>
      <c r="L213" s="19">
        <f>'Tiktok Raw Data'!F213</f>
        <v>4700</v>
      </c>
    </row>
    <row r="214">
      <c r="A214" s="11">
        <f>'Tiktok Raw Data'!A214</f>
        <v>45870</v>
      </c>
      <c r="B214" s="14">
        <f t="shared" si="1"/>
        <v>8</v>
      </c>
      <c r="C214" s="12">
        <f>'Tiktok Raw Data'!B214</f>
        <v>72010</v>
      </c>
      <c r="D214" s="17">
        <f t="shared" si="2"/>
        <v>0.01870573531</v>
      </c>
      <c r="E214" s="12">
        <f>'Tiktok Raw Data'!C214</f>
        <v>1347</v>
      </c>
      <c r="F214" s="19">
        <f t="shared" si="3"/>
        <v>0.7349665924</v>
      </c>
      <c r="G214" s="19">
        <f t="shared" si="4"/>
        <v>13.74809054</v>
      </c>
      <c r="H214" s="19">
        <f>'Tiktok Raw Data'!D214</f>
        <v>990</v>
      </c>
      <c r="I214" s="17">
        <f t="shared" si="5"/>
        <v>0.01410541945</v>
      </c>
      <c r="J214" s="20">
        <f>'Tiktok Raw Data'!E214</f>
        <v>19</v>
      </c>
      <c r="K214" s="19">
        <f t="shared" si="6"/>
        <v>189.4736842</v>
      </c>
      <c r="L214" s="19">
        <f>'Tiktok Raw Data'!F214</f>
        <v>3600</v>
      </c>
    </row>
    <row r="215">
      <c r="A215" s="11">
        <f>'Tiktok Raw Data'!A215</f>
        <v>45871</v>
      </c>
      <c r="B215" s="14">
        <f t="shared" si="1"/>
        <v>8</v>
      </c>
      <c r="C215" s="12">
        <f>'Tiktok Raw Data'!B215</f>
        <v>86525</v>
      </c>
      <c r="D215" s="17">
        <f t="shared" si="2"/>
        <v>0.01624963883</v>
      </c>
      <c r="E215" s="12">
        <f>'Tiktok Raw Data'!C215</f>
        <v>1406</v>
      </c>
      <c r="F215" s="19">
        <f t="shared" si="3"/>
        <v>0.5995732575</v>
      </c>
      <c r="G215" s="19">
        <f t="shared" si="4"/>
        <v>9.742848888</v>
      </c>
      <c r="H215" s="19">
        <f>'Tiktok Raw Data'!D215</f>
        <v>843</v>
      </c>
      <c r="I215" s="17">
        <f t="shared" si="5"/>
        <v>0.02062588905</v>
      </c>
      <c r="J215" s="20">
        <f>'Tiktok Raw Data'!E215</f>
        <v>29</v>
      </c>
      <c r="K215" s="19">
        <f t="shared" si="6"/>
        <v>124.862069</v>
      </c>
      <c r="L215" s="19">
        <f>'Tiktok Raw Data'!F215</f>
        <v>3621</v>
      </c>
    </row>
    <row r="216">
      <c r="A216" s="11">
        <f>'Tiktok Raw Data'!A216</f>
        <v>45872</v>
      </c>
      <c r="B216" s="14">
        <f t="shared" si="1"/>
        <v>8</v>
      </c>
      <c r="C216" s="12">
        <f>'Tiktok Raw Data'!B216</f>
        <v>107947</v>
      </c>
      <c r="D216" s="17">
        <f t="shared" si="2"/>
        <v>0.02989429998</v>
      </c>
      <c r="E216" s="12">
        <f>'Tiktok Raw Data'!C216</f>
        <v>3227</v>
      </c>
      <c r="F216" s="19">
        <f t="shared" si="3"/>
        <v>0.8211961574</v>
      </c>
      <c r="G216" s="19">
        <f t="shared" si="4"/>
        <v>24.54908427</v>
      </c>
      <c r="H216" s="19">
        <f>'Tiktok Raw Data'!D216</f>
        <v>2650</v>
      </c>
      <c r="I216" s="17">
        <f t="shared" si="5"/>
        <v>0.02200185931</v>
      </c>
      <c r="J216" s="20">
        <f>'Tiktok Raw Data'!E216</f>
        <v>71</v>
      </c>
      <c r="K216" s="19">
        <f t="shared" si="6"/>
        <v>140.056338</v>
      </c>
      <c r="L216" s="19">
        <f>'Tiktok Raw Data'!F216</f>
        <v>9944</v>
      </c>
    </row>
    <row r="217">
      <c r="A217" s="11">
        <f>'Tiktok Raw Data'!A217</f>
        <v>45873</v>
      </c>
      <c r="B217" s="14">
        <f t="shared" si="1"/>
        <v>8</v>
      </c>
      <c r="C217" s="12">
        <f>'Tiktok Raw Data'!B217</f>
        <v>59452</v>
      </c>
      <c r="D217" s="17">
        <f t="shared" si="2"/>
        <v>0.02213550427</v>
      </c>
      <c r="E217" s="12">
        <f>'Tiktok Raw Data'!C217</f>
        <v>1316</v>
      </c>
      <c r="F217" s="19">
        <f t="shared" si="3"/>
        <v>0.9050151976</v>
      </c>
      <c r="G217" s="19">
        <f t="shared" si="4"/>
        <v>20.03296777</v>
      </c>
      <c r="H217" s="19">
        <f>'Tiktok Raw Data'!D217</f>
        <v>1191</v>
      </c>
      <c r="I217" s="17">
        <f t="shared" si="5"/>
        <v>0.01519756839</v>
      </c>
      <c r="J217" s="20">
        <f>'Tiktok Raw Data'!E217</f>
        <v>20</v>
      </c>
      <c r="K217" s="19">
        <f t="shared" si="6"/>
        <v>161.5</v>
      </c>
      <c r="L217" s="19">
        <f>'Tiktok Raw Data'!F217</f>
        <v>3230</v>
      </c>
    </row>
    <row r="218">
      <c r="A218" s="11">
        <f>'Tiktok Raw Data'!A218</f>
        <v>45874</v>
      </c>
      <c r="B218" s="14">
        <f t="shared" si="1"/>
        <v>8</v>
      </c>
      <c r="C218" s="12">
        <f>'Tiktok Raw Data'!B218</f>
        <v>68815</v>
      </c>
      <c r="D218" s="17">
        <f t="shared" si="2"/>
        <v>0.0191673327</v>
      </c>
      <c r="E218" s="12">
        <f>'Tiktok Raw Data'!C218</f>
        <v>1319</v>
      </c>
      <c r="F218" s="19">
        <f t="shared" si="3"/>
        <v>0.913570887</v>
      </c>
      <c r="G218" s="19">
        <f t="shared" si="4"/>
        <v>17.51071714</v>
      </c>
      <c r="H218" s="19">
        <f>'Tiktok Raw Data'!D218</f>
        <v>1205</v>
      </c>
      <c r="I218" s="17">
        <f t="shared" si="5"/>
        <v>0.01819560273</v>
      </c>
      <c r="J218" s="20">
        <f>'Tiktok Raw Data'!E218</f>
        <v>24</v>
      </c>
      <c r="K218" s="19">
        <f t="shared" si="6"/>
        <v>128.6666667</v>
      </c>
      <c r="L218" s="19">
        <f>'Tiktok Raw Data'!F218</f>
        <v>3088</v>
      </c>
    </row>
    <row r="219">
      <c r="A219" s="11">
        <f>'Tiktok Raw Data'!A219</f>
        <v>45875</v>
      </c>
      <c r="B219" s="14">
        <f t="shared" si="1"/>
        <v>8</v>
      </c>
      <c r="C219" s="12">
        <f>'Tiktok Raw Data'!B219</f>
        <v>68158</v>
      </c>
      <c r="D219" s="17">
        <f t="shared" si="2"/>
        <v>0.01364476657</v>
      </c>
      <c r="E219" s="12">
        <f>'Tiktok Raw Data'!C219</f>
        <v>930</v>
      </c>
      <c r="F219" s="19">
        <f t="shared" si="3"/>
        <v>0.6193548387</v>
      </c>
      <c r="G219" s="19">
        <f t="shared" si="4"/>
        <v>8.450952199</v>
      </c>
      <c r="H219" s="19">
        <f>'Tiktok Raw Data'!D219</f>
        <v>576</v>
      </c>
      <c r="I219" s="17">
        <f t="shared" si="5"/>
        <v>0.02365591398</v>
      </c>
      <c r="J219" s="20">
        <f>'Tiktok Raw Data'!E219</f>
        <v>22</v>
      </c>
      <c r="K219" s="19">
        <f t="shared" si="6"/>
        <v>126.0909091</v>
      </c>
      <c r="L219" s="19">
        <f>'Tiktok Raw Data'!F219</f>
        <v>2774</v>
      </c>
    </row>
    <row r="220">
      <c r="A220" s="11">
        <f>'Tiktok Raw Data'!A220</f>
        <v>45876</v>
      </c>
      <c r="B220" s="14">
        <f t="shared" si="1"/>
        <v>8</v>
      </c>
      <c r="C220" s="12">
        <f>'Tiktok Raw Data'!B220</f>
        <v>91525</v>
      </c>
      <c r="D220" s="17">
        <f t="shared" si="2"/>
        <v>0.03009013931</v>
      </c>
      <c r="E220" s="12">
        <f>'Tiktok Raw Data'!C220</f>
        <v>2754</v>
      </c>
      <c r="F220" s="19">
        <f t="shared" si="3"/>
        <v>1.192810458</v>
      </c>
      <c r="G220" s="19">
        <f t="shared" si="4"/>
        <v>35.89183283</v>
      </c>
      <c r="H220" s="19">
        <f>'Tiktok Raw Data'!D220</f>
        <v>3285</v>
      </c>
      <c r="I220" s="17">
        <f t="shared" si="5"/>
        <v>0.02650689906</v>
      </c>
      <c r="J220" s="20">
        <f>'Tiktok Raw Data'!E220</f>
        <v>73</v>
      </c>
      <c r="K220" s="19">
        <f t="shared" si="6"/>
        <v>160.6438356</v>
      </c>
      <c r="L220" s="19">
        <f>'Tiktok Raw Data'!F220</f>
        <v>11727</v>
      </c>
    </row>
    <row r="221">
      <c r="A221" s="11">
        <f>'Tiktok Raw Data'!A221</f>
        <v>45877</v>
      </c>
      <c r="B221" s="14">
        <f t="shared" si="1"/>
        <v>8</v>
      </c>
      <c r="C221" s="12">
        <f>'Tiktok Raw Data'!B221</f>
        <v>146038</v>
      </c>
      <c r="D221" s="17">
        <f t="shared" si="2"/>
        <v>0.01906353141</v>
      </c>
      <c r="E221" s="12">
        <f>'Tiktok Raw Data'!C221</f>
        <v>2784</v>
      </c>
      <c r="F221" s="19">
        <f t="shared" si="3"/>
        <v>0.6307471264</v>
      </c>
      <c r="G221" s="19">
        <f t="shared" si="4"/>
        <v>12.02426766</v>
      </c>
      <c r="H221" s="19">
        <f>'Tiktok Raw Data'!D221</f>
        <v>1756</v>
      </c>
      <c r="I221" s="17">
        <f t="shared" si="5"/>
        <v>0.01939655172</v>
      </c>
      <c r="J221" s="20">
        <f>'Tiktok Raw Data'!E221</f>
        <v>54</v>
      </c>
      <c r="K221" s="19">
        <f t="shared" si="6"/>
        <v>122.4074074</v>
      </c>
      <c r="L221" s="19">
        <f>'Tiktok Raw Data'!F221</f>
        <v>6610</v>
      </c>
    </row>
    <row r="222">
      <c r="A222" s="11">
        <f>'Tiktok Raw Data'!A222</f>
        <v>45878</v>
      </c>
      <c r="B222" s="14">
        <f t="shared" si="1"/>
        <v>8</v>
      </c>
      <c r="C222" s="12">
        <f>'Tiktok Raw Data'!B222</f>
        <v>55344</v>
      </c>
      <c r="D222" s="17">
        <f t="shared" si="2"/>
        <v>0.009919774501</v>
      </c>
      <c r="E222" s="12">
        <f>'Tiktok Raw Data'!C222</f>
        <v>549</v>
      </c>
      <c r="F222" s="19">
        <f t="shared" si="3"/>
        <v>0.6885245902</v>
      </c>
      <c r="G222" s="19">
        <f t="shared" si="4"/>
        <v>6.830008673</v>
      </c>
      <c r="H222" s="19">
        <f>'Tiktok Raw Data'!D222</f>
        <v>378</v>
      </c>
      <c r="I222" s="17">
        <f t="shared" si="5"/>
        <v>0.02367941712</v>
      </c>
      <c r="J222" s="20">
        <f>'Tiktok Raw Data'!E222</f>
        <v>13</v>
      </c>
      <c r="K222" s="19">
        <f t="shared" si="6"/>
        <v>125.1538462</v>
      </c>
      <c r="L222" s="19">
        <f>'Tiktok Raw Data'!F222</f>
        <v>1627</v>
      </c>
    </row>
    <row r="223">
      <c r="A223" s="11">
        <f>'Tiktok Raw Data'!A223</f>
        <v>45879</v>
      </c>
      <c r="B223" s="14">
        <f t="shared" si="1"/>
        <v>8</v>
      </c>
      <c r="C223" s="12">
        <f>'Tiktok Raw Data'!B223</f>
        <v>81320</v>
      </c>
      <c r="D223" s="17">
        <f t="shared" si="2"/>
        <v>0.02048696508</v>
      </c>
      <c r="E223" s="12">
        <f>'Tiktok Raw Data'!C223</f>
        <v>1666</v>
      </c>
      <c r="F223" s="19">
        <f t="shared" si="3"/>
        <v>1.240096038</v>
      </c>
      <c r="G223" s="19">
        <f t="shared" si="4"/>
        <v>25.40580423</v>
      </c>
      <c r="H223" s="19">
        <f>'Tiktok Raw Data'!D223</f>
        <v>2066</v>
      </c>
      <c r="I223" s="17">
        <f t="shared" si="5"/>
        <v>0.01320528211</v>
      </c>
      <c r="J223" s="20">
        <f>'Tiktok Raw Data'!E223</f>
        <v>22</v>
      </c>
      <c r="K223" s="19">
        <f t="shared" si="6"/>
        <v>153.9545455</v>
      </c>
      <c r="L223" s="19">
        <f>'Tiktok Raw Data'!F223</f>
        <v>3387</v>
      </c>
    </row>
    <row r="224">
      <c r="A224" s="11">
        <f>'Tiktok Raw Data'!A224</f>
        <v>45880</v>
      </c>
      <c r="B224" s="14">
        <f t="shared" si="1"/>
        <v>8</v>
      </c>
      <c r="C224" s="12">
        <f>'Tiktok Raw Data'!B224</f>
        <v>111175</v>
      </c>
      <c r="D224" s="17">
        <f t="shared" si="2"/>
        <v>0.01683831797</v>
      </c>
      <c r="E224" s="12">
        <f>'Tiktok Raw Data'!C224</f>
        <v>1872</v>
      </c>
      <c r="F224" s="19">
        <f t="shared" si="3"/>
        <v>0.8536324786</v>
      </c>
      <c r="G224" s="19">
        <f t="shared" si="4"/>
        <v>14.3737351</v>
      </c>
      <c r="H224" s="19">
        <f>'Tiktok Raw Data'!D224</f>
        <v>1598</v>
      </c>
      <c r="I224" s="17">
        <f t="shared" si="5"/>
        <v>0.02136752137</v>
      </c>
      <c r="J224" s="20">
        <f>'Tiktok Raw Data'!E224</f>
        <v>40</v>
      </c>
      <c r="K224" s="19">
        <f t="shared" si="6"/>
        <v>111.6</v>
      </c>
      <c r="L224" s="19">
        <f>'Tiktok Raw Data'!F224</f>
        <v>4464</v>
      </c>
    </row>
    <row r="225">
      <c r="A225" s="11">
        <f>'Tiktok Raw Data'!A225</f>
        <v>45881</v>
      </c>
      <c r="B225" s="14">
        <f t="shared" si="1"/>
        <v>8</v>
      </c>
      <c r="C225" s="12">
        <f>'Tiktok Raw Data'!B225</f>
        <v>35994</v>
      </c>
      <c r="D225" s="17">
        <f t="shared" si="2"/>
        <v>0.01214091237</v>
      </c>
      <c r="E225" s="12">
        <f>'Tiktok Raw Data'!C225</f>
        <v>437</v>
      </c>
      <c r="F225" s="19">
        <f t="shared" si="3"/>
        <v>1.185354691</v>
      </c>
      <c r="G225" s="19">
        <f t="shared" si="4"/>
        <v>14.39128744</v>
      </c>
      <c r="H225" s="19">
        <f>'Tiktok Raw Data'!D225</f>
        <v>518</v>
      </c>
      <c r="I225" s="17">
        <f t="shared" si="5"/>
        <v>0.01830663616</v>
      </c>
      <c r="J225" s="20">
        <f>'Tiktok Raw Data'!E225</f>
        <v>8</v>
      </c>
      <c r="K225" s="19">
        <f t="shared" si="6"/>
        <v>212.625</v>
      </c>
      <c r="L225" s="19">
        <f>'Tiktok Raw Data'!F225</f>
        <v>1701</v>
      </c>
    </row>
    <row r="226">
      <c r="A226" s="11">
        <f>'Tiktok Raw Data'!A226</f>
        <v>45882</v>
      </c>
      <c r="B226" s="14">
        <f t="shared" si="1"/>
        <v>8</v>
      </c>
      <c r="C226" s="12">
        <f>'Tiktok Raw Data'!B226</f>
        <v>79584</v>
      </c>
      <c r="D226" s="17">
        <f t="shared" si="2"/>
        <v>0.01465118617</v>
      </c>
      <c r="E226" s="12">
        <f>'Tiktok Raw Data'!C226</f>
        <v>1166</v>
      </c>
      <c r="F226" s="19">
        <f t="shared" si="3"/>
        <v>0.8053173242</v>
      </c>
      <c r="G226" s="19">
        <f t="shared" si="4"/>
        <v>11.79885404</v>
      </c>
      <c r="H226" s="19">
        <f>'Tiktok Raw Data'!D226</f>
        <v>939</v>
      </c>
      <c r="I226" s="17">
        <f t="shared" si="5"/>
        <v>0.01114922813</v>
      </c>
      <c r="J226" s="20">
        <f>'Tiktok Raw Data'!E226</f>
        <v>13</v>
      </c>
      <c r="K226" s="19">
        <f t="shared" si="6"/>
        <v>120.9230769</v>
      </c>
      <c r="L226" s="19">
        <f>'Tiktok Raw Data'!F226</f>
        <v>1572</v>
      </c>
    </row>
    <row r="227">
      <c r="A227" s="11">
        <f>'Tiktok Raw Data'!A227</f>
        <v>45883</v>
      </c>
      <c r="B227" s="14">
        <f t="shared" si="1"/>
        <v>8</v>
      </c>
      <c r="C227" s="12">
        <f>'Tiktok Raw Data'!B227</f>
        <v>134124</v>
      </c>
      <c r="D227" s="17">
        <f t="shared" si="2"/>
        <v>0.0265798813</v>
      </c>
      <c r="E227" s="12">
        <f>'Tiktok Raw Data'!C227</f>
        <v>3565</v>
      </c>
      <c r="F227" s="19">
        <f t="shared" si="3"/>
        <v>0.6757363254</v>
      </c>
      <c r="G227" s="19">
        <f t="shared" si="4"/>
        <v>17.96099132</v>
      </c>
      <c r="H227" s="19">
        <f>'Tiktok Raw Data'!D227</f>
        <v>2409</v>
      </c>
      <c r="I227" s="17">
        <f t="shared" si="5"/>
        <v>0.01739130435</v>
      </c>
      <c r="J227" s="20">
        <f>'Tiktok Raw Data'!E227</f>
        <v>62</v>
      </c>
      <c r="K227" s="19">
        <f t="shared" si="6"/>
        <v>193.3225806</v>
      </c>
      <c r="L227" s="19">
        <f>'Tiktok Raw Data'!F227</f>
        <v>11986</v>
      </c>
    </row>
    <row r="228">
      <c r="A228" s="11">
        <f>'Tiktok Raw Data'!A228</f>
        <v>45884</v>
      </c>
      <c r="B228" s="14">
        <f t="shared" si="1"/>
        <v>8</v>
      </c>
      <c r="C228" s="12">
        <f>'Tiktok Raw Data'!B228</f>
        <v>106541</v>
      </c>
      <c r="D228" s="17">
        <f t="shared" si="2"/>
        <v>0.03254146291</v>
      </c>
      <c r="E228" s="12">
        <f>'Tiktok Raw Data'!C228</f>
        <v>3467</v>
      </c>
      <c r="F228" s="19">
        <f t="shared" si="3"/>
        <v>0.9702913181</v>
      </c>
      <c r="G228" s="19">
        <f t="shared" si="4"/>
        <v>31.57469894</v>
      </c>
      <c r="H228" s="19">
        <f>'Tiktok Raw Data'!D228</f>
        <v>3364</v>
      </c>
      <c r="I228" s="17">
        <f t="shared" si="5"/>
        <v>0.01240265359</v>
      </c>
      <c r="J228" s="20">
        <f>'Tiktok Raw Data'!E228</f>
        <v>43</v>
      </c>
      <c r="K228" s="19">
        <f t="shared" si="6"/>
        <v>139.6046512</v>
      </c>
      <c r="L228" s="19">
        <f>'Tiktok Raw Data'!F228</f>
        <v>6003</v>
      </c>
    </row>
    <row r="229">
      <c r="A229" s="11">
        <f>'Tiktok Raw Data'!A229</f>
        <v>45885</v>
      </c>
      <c r="B229" s="14">
        <f t="shared" si="1"/>
        <v>8</v>
      </c>
      <c r="C229" s="12">
        <f>'Tiktok Raw Data'!B229</f>
        <v>55197</v>
      </c>
      <c r="D229" s="17">
        <f t="shared" si="2"/>
        <v>0.02360635542</v>
      </c>
      <c r="E229" s="12">
        <f>'Tiktok Raw Data'!C229</f>
        <v>1303</v>
      </c>
      <c r="F229" s="19">
        <f t="shared" si="3"/>
        <v>0.55257099</v>
      </c>
      <c r="G229" s="19">
        <f t="shared" si="4"/>
        <v>13.04418718</v>
      </c>
      <c r="H229" s="19">
        <f>'Tiktok Raw Data'!D229</f>
        <v>720</v>
      </c>
      <c r="I229" s="17">
        <f t="shared" si="5"/>
        <v>0.0092095165</v>
      </c>
      <c r="J229" s="20">
        <f>'Tiktok Raw Data'!E229</f>
        <v>12</v>
      </c>
      <c r="K229" s="19">
        <f t="shared" si="6"/>
        <v>205.9166667</v>
      </c>
      <c r="L229" s="19">
        <f>'Tiktok Raw Data'!F229</f>
        <v>2471</v>
      </c>
    </row>
    <row r="230">
      <c r="A230" s="11">
        <f>'Tiktok Raw Data'!A230</f>
        <v>45886</v>
      </c>
      <c r="B230" s="14">
        <f t="shared" si="1"/>
        <v>8</v>
      </c>
      <c r="C230" s="12">
        <f>'Tiktok Raw Data'!B230</f>
        <v>127402</v>
      </c>
      <c r="D230" s="17">
        <f t="shared" si="2"/>
        <v>0.01457590933</v>
      </c>
      <c r="E230" s="12">
        <f>'Tiktok Raw Data'!C230</f>
        <v>1857</v>
      </c>
      <c r="F230" s="19">
        <f t="shared" si="3"/>
        <v>1.008616047</v>
      </c>
      <c r="G230" s="19">
        <f t="shared" si="4"/>
        <v>14.70149605</v>
      </c>
      <c r="H230" s="19">
        <f>'Tiktok Raw Data'!D230</f>
        <v>1873</v>
      </c>
      <c r="I230" s="17">
        <f t="shared" si="5"/>
        <v>0.01992460959</v>
      </c>
      <c r="J230" s="20">
        <f>'Tiktok Raw Data'!E230</f>
        <v>37</v>
      </c>
      <c r="K230" s="19">
        <f t="shared" si="6"/>
        <v>152.1081081</v>
      </c>
      <c r="L230" s="19">
        <f>'Tiktok Raw Data'!F230</f>
        <v>5628</v>
      </c>
    </row>
    <row r="231">
      <c r="A231" s="11">
        <f>'Tiktok Raw Data'!A231</f>
        <v>45887</v>
      </c>
      <c r="B231" s="14">
        <f t="shared" si="1"/>
        <v>8</v>
      </c>
      <c r="C231" s="12">
        <f>'Tiktok Raw Data'!B231</f>
        <v>97472</v>
      </c>
      <c r="D231" s="17">
        <f t="shared" si="2"/>
        <v>0.0221396914</v>
      </c>
      <c r="E231" s="12">
        <f>'Tiktok Raw Data'!C231</f>
        <v>2158</v>
      </c>
      <c r="F231" s="19">
        <f t="shared" si="3"/>
        <v>0.9351251158</v>
      </c>
      <c r="G231" s="19">
        <f t="shared" si="4"/>
        <v>20.70338148</v>
      </c>
      <c r="H231" s="19">
        <f>'Tiktok Raw Data'!D231</f>
        <v>2018</v>
      </c>
      <c r="I231" s="17">
        <f t="shared" si="5"/>
        <v>0.0250231696</v>
      </c>
      <c r="J231" s="20">
        <f>'Tiktok Raw Data'!E231</f>
        <v>54</v>
      </c>
      <c r="K231" s="19">
        <f t="shared" si="6"/>
        <v>152.962963</v>
      </c>
      <c r="L231" s="19">
        <f>'Tiktok Raw Data'!F231</f>
        <v>8260</v>
      </c>
    </row>
    <row r="232">
      <c r="A232" s="11">
        <f>'Tiktok Raw Data'!A232</f>
        <v>45888</v>
      </c>
      <c r="B232" s="14">
        <f t="shared" si="1"/>
        <v>8</v>
      </c>
      <c r="C232" s="12">
        <f>'Tiktok Raw Data'!B232</f>
        <v>32607</v>
      </c>
      <c r="D232" s="17">
        <f t="shared" si="2"/>
        <v>0.01324868893</v>
      </c>
      <c r="E232" s="12">
        <f>'Tiktok Raw Data'!C232</f>
        <v>432</v>
      </c>
      <c r="F232" s="19">
        <f t="shared" si="3"/>
        <v>0.8310185185</v>
      </c>
      <c r="G232" s="19">
        <f t="shared" si="4"/>
        <v>11.00990585</v>
      </c>
      <c r="H232" s="19">
        <f>'Tiktok Raw Data'!D232</f>
        <v>359</v>
      </c>
      <c r="I232" s="17">
        <f t="shared" si="5"/>
        <v>0.01851851852</v>
      </c>
      <c r="J232" s="20">
        <f>'Tiktok Raw Data'!E232</f>
        <v>8</v>
      </c>
      <c r="K232" s="19">
        <f t="shared" si="6"/>
        <v>133.375</v>
      </c>
      <c r="L232" s="19">
        <f>'Tiktok Raw Data'!F232</f>
        <v>1067</v>
      </c>
    </row>
    <row r="233">
      <c r="A233" s="11">
        <f>'Tiktok Raw Data'!A233</f>
        <v>45889</v>
      </c>
      <c r="B233" s="14">
        <f t="shared" si="1"/>
        <v>8</v>
      </c>
      <c r="C233" s="12">
        <f>'Tiktok Raw Data'!B233</f>
        <v>29963</v>
      </c>
      <c r="D233" s="17">
        <f t="shared" si="2"/>
        <v>0.01511864633</v>
      </c>
      <c r="E233" s="12">
        <f>'Tiktok Raw Data'!C233</f>
        <v>453</v>
      </c>
      <c r="F233" s="19">
        <f t="shared" si="3"/>
        <v>0.9735099338</v>
      </c>
      <c r="G233" s="19">
        <f t="shared" si="4"/>
        <v>14.71815239</v>
      </c>
      <c r="H233" s="19">
        <f>'Tiktok Raw Data'!D233</f>
        <v>441</v>
      </c>
      <c r="I233" s="17">
        <f t="shared" si="5"/>
        <v>0.01324503311</v>
      </c>
      <c r="J233" s="20">
        <f>'Tiktok Raw Data'!E233</f>
        <v>6</v>
      </c>
      <c r="K233" s="19">
        <f t="shared" si="6"/>
        <v>151.8333333</v>
      </c>
      <c r="L233" s="19">
        <f>'Tiktok Raw Data'!F233</f>
        <v>911</v>
      </c>
    </row>
    <row r="234">
      <c r="A234" s="11">
        <f>'Tiktok Raw Data'!A234</f>
        <v>45890</v>
      </c>
      <c r="B234" s="14">
        <f t="shared" si="1"/>
        <v>8</v>
      </c>
      <c r="C234" s="12">
        <f>'Tiktok Raw Data'!B234</f>
        <v>27710</v>
      </c>
      <c r="D234" s="17">
        <f t="shared" si="2"/>
        <v>0.01024900758</v>
      </c>
      <c r="E234" s="12">
        <f>'Tiktok Raw Data'!C234</f>
        <v>284</v>
      </c>
      <c r="F234" s="19">
        <f t="shared" si="3"/>
        <v>0.6866197183</v>
      </c>
      <c r="G234" s="19">
        <f t="shared" si="4"/>
        <v>7.037170696</v>
      </c>
      <c r="H234" s="19">
        <f>'Tiktok Raw Data'!D234</f>
        <v>195</v>
      </c>
      <c r="I234" s="17">
        <f t="shared" si="5"/>
        <v>0.01056338028</v>
      </c>
      <c r="J234" s="20">
        <f>'Tiktok Raw Data'!E234</f>
        <v>3</v>
      </c>
      <c r="K234" s="19">
        <f t="shared" si="6"/>
        <v>381</v>
      </c>
      <c r="L234" s="19">
        <f>'Tiktok Raw Data'!F234</f>
        <v>1143</v>
      </c>
    </row>
    <row r="235">
      <c r="A235" s="11">
        <f>'Tiktok Raw Data'!A235</f>
        <v>45891</v>
      </c>
      <c r="B235" s="14">
        <f t="shared" si="1"/>
        <v>8</v>
      </c>
      <c r="C235" s="12">
        <f>'Tiktok Raw Data'!B235</f>
        <v>76252</v>
      </c>
      <c r="D235" s="17">
        <f t="shared" si="2"/>
        <v>0.02827466821</v>
      </c>
      <c r="E235" s="12">
        <f>'Tiktok Raw Data'!C235</f>
        <v>2156</v>
      </c>
      <c r="F235" s="19">
        <f t="shared" si="3"/>
        <v>0.9837662338</v>
      </c>
      <c r="G235" s="19">
        <f t="shared" si="4"/>
        <v>27.81566385</v>
      </c>
      <c r="H235" s="19">
        <f>'Tiktok Raw Data'!D235</f>
        <v>2121</v>
      </c>
      <c r="I235" s="17">
        <f t="shared" si="5"/>
        <v>0.01159554731</v>
      </c>
      <c r="J235" s="20">
        <f>'Tiktok Raw Data'!E235</f>
        <v>25</v>
      </c>
      <c r="K235" s="19">
        <f t="shared" si="6"/>
        <v>212.16</v>
      </c>
      <c r="L235" s="19">
        <f>'Tiktok Raw Data'!F235</f>
        <v>5304</v>
      </c>
    </row>
    <row r="236">
      <c r="A236" s="11">
        <f>'Tiktok Raw Data'!A236</f>
        <v>45892</v>
      </c>
      <c r="B236" s="14">
        <f t="shared" si="1"/>
        <v>8</v>
      </c>
      <c r="C236" s="12">
        <f>'Tiktok Raw Data'!B236</f>
        <v>125503</v>
      </c>
      <c r="D236" s="17">
        <f t="shared" si="2"/>
        <v>0.03119447344</v>
      </c>
      <c r="E236" s="12">
        <f>'Tiktok Raw Data'!C236</f>
        <v>3915</v>
      </c>
      <c r="F236" s="19">
        <f t="shared" si="3"/>
        <v>0.5739463602</v>
      </c>
      <c r="G236" s="19">
        <f t="shared" si="4"/>
        <v>17.90395449</v>
      </c>
      <c r="H236" s="19">
        <f>'Tiktok Raw Data'!D236</f>
        <v>2247</v>
      </c>
      <c r="I236" s="17">
        <f t="shared" si="5"/>
        <v>0.01353767561</v>
      </c>
      <c r="J236" s="20">
        <f>'Tiktok Raw Data'!E236</f>
        <v>53</v>
      </c>
      <c r="K236" s="19">
        <f t="shared" si="6"/>
        <v>166.7735849</v>
      </c>
      <c r="L236" s="19">
        <f>'Tiktok Raw Data'!F236</f>
        <v>8839</v>
      </c>
    </row>
    <row r="237">
      <c r="A237" s="11">
        <f>'Tiktok Raw Data'!A237</f>
        <v>45893</v>
      </c>
      <c r="B237" s="14">
        <f t="shared" si="1"/>
        <v>8</v>
      </c>
      <c r="C237" s="12">
        <f>'Tiktok Raw Data'!B237</f>
        <v>47190</v>
      </c>
      <c r="D237" s="17">
        <f t="shared" si="2"/>
        <v>0.02172070354</v>
      </c>
      <c r="E237" s="12">
        <f>'Tiktok Raw Data'!C237</f>
        <v>1025</v>
      </c>
      <c r="F237" s="19">
        <f t="shared" si="3"/>
        <v>0.7326829268</v>
      </c>
      <c r="G237" s="19">
        <f t="shared" si="4"/>
        <v>15.91438864</v>
      </c>
      <c r="H237" s="19">
        <f>'Tiktok Raw Data'!D237</f>
        <v>751</v>
      </c>
      <c r="I237" s="17">
        <f t="shared" si="5"/>
        <v>0.02341463415</v>
      </c>
      <c r="J237" s="20">
        <f>'Tiktok Raw Data'!E237</f>
        <v>24</v>
      </c>
      <c r="K237" s="19">
        <f t="shared" si="6"/>
        <v>142.2916667</v>
      </c>
      <c r="L237" s="19">
        <f>'Tiktok Raw Data'!F237</f>
        <v>3415</v>
      </c>
    </row>
    <row r="238">
      <c r="A238" s="11">
        <f>'Tiktok Raw Data'!A238</f>
        <v>45894</v>
      </c>
      <c r="B238" s="14">
        <f t="shared" si="1"/>
        <v>8</v>
      </c>
      <c r="C238" s="12">
        <f>'Tiktok Raw Data'!B238</f>
        <v>125100</v>
      </c>
      <c r="D238" s="17">
        <f t="shared" si="2"/>
        <v>0.01589928058</v>
      </c>
      <c r="E238" s="12">
        <f>'Tiktok Raw Data'!C238</f>
        <v>1989</v>
      </c>
      <c r="F238" s="19">
        <f t="shared" si="3"/>
        <v>1.207139266</v>
      </c>
      <c r="G238" s="19">
        <f t="shared" si="4"/>
        <v>19.19264588</v>
      </c>
      <c r="H238" s="19">
        <f>'Tiktok Raw Data'!D238</f>
        <v>2401</v>
      </c>
      <c r="I238" s="17">
        <f t="shared" si="5"/>
        <v>0.01960784314</v>
      </c>
      <c r="J238" s="20">
        <f>'Tiktok Raw Data'!E238</f>
        <v>39</v>
      </c>
      <c r="K238" s="19">
        <f t="shared" si="6"/>
        <v>184.2564103</v>
      </c>
      <c r="L238" s="19">
        <f>'Tiktok Raw Data'!F238</f>
        <v>7186</v>
      </c>
    </row>
    <row r="239">
      <c r="A239" s="11">
        <f>'Tiktok Raw Data'!A239</f>
        <v>45895</v>
      </c>
      <c r="B239" s="14">
        <f t="shared" si="1"/>
        <v>8</v>
      </c>
      <c r="C239" s="12">
        <f>'Tiktok Raw Data'!B239</f>
        <v>119812</v>
      </c>
      <c r="D239" s="17">
        <f t="shared" si="2"/>
        <v>0.01534070043</v>
      </c>
      <c r="E239" s="12">
        <f>'Tiktok Raw Data'!C239</f>
        <v>1838</v>
      </c>
      <c r="F239" s="19">
        <f t="shared" si="3"/>
        <v>1.087051143</v>
      </c>
      <c r="G239" s="19">
        <f t="shared" si="4"/>
        <v>16.67612593</v>
      </c>
      <c r="H239" s="19">
        <f>'Tiktok Raw Data'!D239</f>
        <v>1998</v>
      </c>
      <c r="I239" s="17">
        <f t="shared" si="5"/>
        <v>0.02067464635</v>
      </c>
      <c r="J239" s="20">
        <f>'Tiktok Raw Data'!E239</f>
        <v>38</v>
      </c>
      <c r="K239" s="19">
        <f t="shared" si="6"/>
        <v>164.3947368</v>
      </c>
      <c r="L239" s="19">
        <f>'Tiktok Raw Data'!F239</f>
        <v>6247</v>
      </c>
    </row>
    <row r="240">
      <c r="A240" s="11">
        <f>'Tiktok Raw Data'!A240</f>
        <v>45896</v>
      </c>
      <c r="B240" s="14">
        <f t="shared" si="1"/>
        <v>8</v>
      </c>
      <c r="C240" s="12">
        <f>'Tiktok Raw Data'!B240</f>
        <v>88306</v>
      </c>
      <c r="D240" s="17">
        <f t="shared" si="2"/>
        <v>0.0270083573</v>
      </c>
      <c r="E240" s="12">
        <f>'Tiktok Raw Data'!C240</f>
        <v>2385</v>
      </c>
      <c r="F240" s="19">
        <f t="shared" si="3"/>
        <v>0.8800838574</v>
      </c>
      <c r="G240" s="19">
        <f t="shared" si="4"/>
        <v>23.76961928</v>
      </c>
      <c r="H240" s="19">
        <f>'Tiktok Raw Data'!D240</f>
        <v>2099</v>
      </c>
      <c r="I240" s="17">
        <f t="shared" si="5"/>
        <v>0.01677148847</v>
      </c>
      <c r="J240" s="20">
        <f>'Tiktok Raw Data'!E240</f>
        <v>40</v>
      </c>
      <c r="K240" s="19">
        <f t="shared" si="6"/>
        <v>118.725</v>
      </c>
      <c r="L240" s="19">
        <f>'Tiktok Raw Data'!F240</f>
        <v>4749</v>
      </c>
    </row>
    <row r="241">
      <c r="A241" s="11">
        <f>'Tiktok Raw Data'!A241</f>
        <v>45897</v>
      </c>
      <c r="B241" s="14">
        <f t="shared" si="1"/>
        <v>8</v>
      </c>
      <c r="C241" s="12">
        <f>'Tiktok Raw Data'!B241</f>
        <v>44544</v>
      </c>
      <c r="D241" s="17">
        <f t="shared" si="2"/>
        <v>0.0138514727</v>
      </c>
      <c r="E241" s="12">
        <f>'Tiktok Raw Data'!C241</f>
        <v>617</v>
      </c>
      <c r="F241" s="19">
        <f t="shared" si="3"/>
        <v>0.9886547812</v>
      </c>
      <c r="G241" s="19">
        <f t="shared" si="4"/>
        <v>13.69432471</v>
      </c>
      <c r="H241" s="19">
        <f>'Tiktok Raw Data'!D241</f>
        <v>610</v>
      </c>
      <c r="I241" s="17">
        <f t="shared" si="5"/>
        <v>0.009724473258</v>
      </c>
      <c r="J241" s="20">
        <f>'Tiktok Raw Data'!E241</f>
        <v>6</v>
      </c>
      <c r="K241" s="19">
        <f t="shared" si="6"/>
        <v>166.6666667</v>
      </c>
      <c r="L241" s="19">
        <f>'Tiktok Raw Data'!F241</f>
        <v>1000</v>
      </c>
    </row>
    <row r="242">
      <c r="A242" s="11">
        <f>'Tiktok Raw Data'!A242</f>
        <v>45898</v>
      </c>
      <c r="B242" s="14">
        <f t="shared" si="1"/>
        <v>8</v>
      </c>
      <c r="C242" s="12">
        <f>'Tiktok Raw Data'!B242</f>
        <v>74391</v>
      </c>
      <c r="D242" s="17">
        <f t="shared" si="2"/>
        <v>0.01396674329</v>
      </c>
      <c r="E242" s="12">
        <f>'Tiktok Raw Data'!C242</f>
        <v>1039</v>
      </c>
      <c r="F242" s="19">
        <f t="shared" si="3"/>
        <v>0.7285851781</v>
      </c>
      <c r="G242" s="19">
        <f t="shared" si="4"/>
        <v>10.17596215</v>
      </c>
      <c r="H242" s="19">
        <f>'Tiktok Raw Data'!D242</f>
        <v>757</v>
      </c>
      <c r="I242" s="17">
        <f t="shared" si="5"/>
        <v>0.02021174206</v>
      </c>
      <c r="J242" s="20">
        <f>'Tiktok Raw Data'!E242</f>
        <v>21</v>
      </c>
      <c r="K242" s="19">
        <f t="shared" si="6"/>
        <v>174</v>
      </c>
      <c r="L242" s="19">
        <f>'Tiktok Raw Data'!F242</f>
        <v>3654</v>
      </c>
    </row>
    <row r="243">
      <c r="A243" s="11">
        <f>'Tiktok Raw Data'!A243</f>
        <v>45899</v>
      </c>
      <c r="B243" s="14">
        <f t="shared" si="1"/>
        <v>8</v>
      </c>
      <c r="C243" s="12">
        <f>'Tiktok Raw Data'!B243</f>
        <v>32545</v>
      </c>
      <c r="D243" s="17">
        <f t="shared" si="2"/>
        <v>0.01450299585</v>
      </c>
      <c r="E243" s="12">
        <f>'Tiktok Raw Data'!C243</f>
        <v>472</v>
      </c>
      <c r="F243" s="19">
        <f t="shared" si="3"/>
        <v>1.097457627</v>
      </c>
      <c r="G243" s="19">
        <f t="shared" si="4"/>
        <v>15.91642341</v>
      </c>
      <c r="H243" s="19">
        <f>'Tiktok Raw Data'!D243</f>
        <v>518</v>
      </c>
      <c r="I243" s="17">
        <f t="shared" si="5"/>
        <v>0.01483050847</v>
      </c>
      <c r="J243" s="20">
        <f>'Tiktok Raw Data'!E243</f>
        <v>7</v>
      </c>
      <c r="K243" s="19">
        <f t="shared" si="6"/>
        <v>140.5714286</v>
      </c>
      <c r="L243" s="19">
        <f>'Tiktok Raw Data'!F243</f>
        <v>984</v>
      </c>
    </row>
    <row r="244">
      <c r="A244" s="11">
        <f>'Tiktok Raw Data'!A244</f>
        <v>45900</v>
      </c>
      <c r="B244" s="14">
        <f t="shared" si="1"/>
        <v>8</v>
      </c>
      <c r="C244" s="12">
        <f>'Tiktok Raw Data'!B244</f>
        <v>106510</v>
      </c>
      <c r="D244" s="17">
        <f t="shared" si="2"/>
        <v>0.02046756173</v>
      </c>
      <c r="E244" s="12">
        <f>'Tiktok Raw Data'!C244</f>
        <v>2180</v>
      </c>
      <c r="F244" s="19">
        <f t="shared" si="3"/>
        <v>0.5642201835</v>
      </c>
      <c r="G244" s="19">
        <f t="shared" si="4"/>
        <v>11.54821144</v>
      </c>
      <c r="H244" s="19">
        <f>'Tiktok Raw Data'!D244</f>
        <v>1230</v>
      </c>
      <c r="I244" s="17">
        <f t="shared" si="5"/>
        <v>0.01376146789</v>
      </c>
      <c r="J244" s="20">
        <f>'Tiktok Raw Data'!E244</f>
        <v>30</v>
      </c>
      <c r="K244" s="19">
        <f t="shared" si="6"/>
        <v>155.0666667</v>
      </c>
      <c r="L244" s="19">
        <f>'Tiktok Raw Data'!F244</f>
        <v>4652</v>
      </c>
    </row>
    <row r="245">
      <c r="A245" s="11">
        <f>'Tiktok Raw Data'!A245</f>
        <v>45901</v>
      </c>
      <c r="B245" s="14">
        <f t="shared" si="1"/>
        <v>9</v>
      </c>
      <c r="C245" s="12">
        <f>'Tiktok Raw Data'!B245</f>
        <v>94494</v>
      </c>
      <c r="D245" s="17">
        <f t="shared" si="2"/>
        <v>0.01610684276</v>
      </c>
      <c r="E245" s="12">
        <f>'Tiktok Raw Data'!C245</f>
        <v>1522</v>
      </c>
      <c r="F245" s="19">
        <f t="shared" si="3"/>
        <v>1.390275953</v>
      </c>
      <c r="G245" s="19">
        <f t="shared" si="4"/>
        <v>22.39295617</v>
      </c>
      <c r="H245" s="19">
        <f>'Tiktok Raw Data'!D245</f>
        <v>2116</v>
      </c>
      <c r="I245" s="17">
        <f t="shared" si="5"/>
        <v>0.02299605782</v>
      </c>
      <c r="J245" s="20">
        <f>'Tiktok Raw Data'!E245</f>
        <v>35</v>
      </c>
      <c r="K245" s="19">
        <f t="shared" si="6"/>
        <v>107.2571429</v>
      </c>
      <c r="L245" s="19">
        <f>'Tiktok Raw Data'!F245</f>
        <v>3754</v>
      </c>
    </row>
    <row r="246">
      <c r="A246" s="11">
        <f>'Tiktok Raw Data'!A246</f>
        <v>45902</v>
      </c>
      <c r="B246" s="14">
        <f t="shared" si="1"/>
        <v>9</v>
      </c>
      <c r="C246" s="12">
        <f>'Tiktok Raw Data'!B246</f>
        <v>70589</v>
      </c>
      <c r="D246" s="17">
        <f t="shared" si="2"/>
        <v>0.02282225276</v>
      </c>
      <c r="E246" s="12">
        <f>'Tiktok Raw Data'!C246</f>
        <v>1611</v>
      </c>
      <c r="F246" s="19">
        <f t="shared" si="3"/>
        <v>0.7051520795</v>
      </c>
      <c r="G246" s="19">
        <f t="shared" si="4"/>
        <v>16.09315899</v>
      </c>
      <c r="H246" s="19">
        <f>'Tiktok Raw Data'!D246</f>
        <v>1136</v>
      </c>
      <c r="I246" s="17">
        <f t="shared" si="5"/>
        <v>0.02048417132</v>
      </c>
      <c r="J246" s="20">
        <f>'Tiktok Raw Data'!E246</f>
        <v>33</v>
      </c>
      <c r="K246" s="19">
        <f t="shared" si="6"/>
        <v>94.78787879</v>
      </c>
      <c r="L246" s="19">
        <f>'Tiktok Raw Data'!F246</f>
        <v>3128</v>
      </c>
    </row>
    <row r="247">
      <c r="A247" s="11">
        <f>'Tiktok Raw Data'!A247</f>
        <v>45903</v>
      </c>
      <c r="B247" s="14">
        <f t="shared" si="1"/>
        <v>9</v>
      </c>
      <c r="C247" s="12">
        <f>'Tiktok Raw Data'!B247</f>
        <v>29665</v>
      </c>
      <c r="D247" s="17">
        <f t="shared" si="2"/>
        <v>0.02359683128</v>
      </c>
      <c r="E247" s="12">
        <f>'Tiktok Raw Data'!C247</f>
        <v>700</v>
      </c>
      <c r="F247" s="19">
        <f t="shared" si="3"/>
        <v>0.8628571429</v>
      </c>
      <c r="G247" s="19">
        <f t="shared" si="4"/>
        <v>20.36069442</v>
      </c>
      <c r="H247" s="19">
        <f>'Tiktok Raw Data'!D247</f>
        <v>604</v>
      </c>
      <c r="I247" s="17">
        <f t="shared" si="5"/>
        <v>0.01142857143</v>
      </c>
      <c r="J247" s="20">
        <f>'Tiktok Raw Data'!E247</f>
        <v>8</v>
      </c>
      <c r="K247" s="19">
        <f t="shared" si="6"/>
        <v>193.875</v>
      </c>
      <c r="L247" s="19">
        <f>'Tiktok Raw Data'!F247</f>
        <v>1551</v>
      </c>
    </row>
    <row r="248">
      <c r="A248" s="11">
        <f>'Tiktok Raw Data'!A248</f>
        <v>45904</v>
      </c>
      <c r="B248" s="14">
        <f t="shared" si="1"/>
        <v>9</v>
      </c>
      <c r="C248" s="12">
        <f>'Tiktok Raw Data'!B248</f>
        <v>99274</v>
      </c>
      <c r="D248" s="17">
        <f t="shared" si="2"/>
        <v>0.03461127788</v>
      </c>
      <c r="E248" s="12">
        <f>'Tiktok Raw Data'!C248</f>
        <v>3436</v>
      </c>
      <c r="F248" s="19">
        <f t="shared" si="3"/>
        <v>0.7118742724</v>
      </c>
      <c r="G248" s="19">
        <f t="shared" si="4"/>
        <v>24.63887826</v>
      </c>
      <c r="H248" s="19">
        <f>'Tiktok Raw Data'!D248</f>
        <v>2446</v>
      </c>
      <c r="I248" s="17">
        <f t="shared" si="5"/>
        <v>0.01746216531</v>
      </c>
      <c r="J248" s="20">
        <f>'Tiktok Raw Data'!E248</f>
        <v>60</v>
      </c>
      <c r="K248" s="19">
        <f t="shared" si="6"/>
        <v>168.4666667</v>
      </c>
      <c r="L248" s="19">
        <f>'Tiktok Raw Data'!F248</f>
        <v>10108</v>
      </c>
    </row>
    <row r="249">
      <c r="A249" s="11">
        <f>'Tiktok Raw Data'!A249</f>
        <v>45905</v>
      </c>
      <c r="B249" s="14">
        <f t="shared" si="1"/>
        <v>9</v>
      </c>
      <c r="C249" s="12">
        <f>'Tiktok Raw Data'!B249</f>
        <v>101197</v>
      </c>
      <c r="D249" s="17">
        <f t="shared" si="2"/>
        <v>0.02385446209</v>
      </c>
      <c r="E249" s="12">
        <f>'Tiktok Raw Data'!C249</f>
        <v>2414</v>
      </c>
      <c r="F249" s="19">
        <f t="shared" si="3"/>
        <v>1.108947804</v>
      </c>
      <c r="G249" s="19">
        <f t="shared" si="4"/>
        <v>26.45335336</v>
      </c>
      <c r="H249" s="19">
        <f>'Tiktok Raw Data'!D249</f>
        <v>2677</v>
      </c>
      <c r="I249" s="17">
        <f t="shared" si="5"/>
        <v>0.01698425849</v>
      </c>
      <c r="J249" s="20">
        <f>'Tiktok Raw Data'!E249</f>
        <v>41</v>
      </c>
      <c r="K249" s="19">
        <f t="shared" si="6"/>
        <v>201</v>
      </c>
      <c r="L249" s="19">
        <f>'Tiktok Raw Data'!F249</f>
        <v>8241</v>
      </c>
    </row>
    <row r="250">
      <c r="A250" s="11">
        <f>'Tiktok Raw Data'!A250</f>
        <v>45906</v>
      </c>
      <c r="B250" s="14">
        <f t="shared" si="1"/>
        <v>9</v>
      </c>
      <c r="C250" s="12">
        <f>'Tiktok Raw Data'!B250</f>
        <v>47386</v>
      </c>
      <c r="D250" s="17">
        <f t="shared" si="2"/>
        <v>0.02367787954</v>
      </c>
      <c r="E250" s="12">
        <f>'Tiktok Raw Data'!C250</f>
        <v>1122</v>
      </c>
      <c r="F250" s="19">
        <f t="shared" si="3"/>
        <v>1.146167558</v>
      </c>
      <c r="G250" s="19">
        <f t="shared" si="4"/>
        <v>27.13881737</v>
      </c>
      <c r="H250" s="19">
        <f>'Tiktok Raw Data'!D250</f>
        <v>1286</v>
      </c>
      <c r="I250" s="17">
        <f t="shared" si="5"/>
        <v>0.01158645276</v>
      </c>
      <c r="J250" s="20">
        <f>'Tiktok Raw Data'!E250</f>
        <v>13</v>
      </c>
      <c r="K250" s="19">
        <f t="shared" si="6"/>
        <v>214.6153846</v>
      </c>
      <c r="L250" s="19">
        <f>'Tiktok Raw Data'!F250</f>
        <v>2790</v>
      </c>
    </row>
    <row r="251">
      <c r="A251" s="11">
        <f>'Tiktok Raw Data'!A251</f>
        <v>45907</v>
      </c>
      <c r="B251" s="14">
        <f t="shared" si="1"/>
        <v>9</v>
      </c>
      <c r="C251" s="12">
        <f>'Tiktok Raw Data'!B251</f>
        <v>28728</v>
      </c>
      <c r="D251" s="17">
        <f t="shared" si="2"/>
        <v>0.008945976051</v>
      </c>
      <c r="E251" s="12">
        <f>'Tiktok Raw Data'!C251</f>
        <v>257</v>
      </c>
      <c r="F251" s="19">
        <f t="shared" si="3"/>
        <v>1.178988327</v>
      </c>
      <c r="G251" s="19">
        <f t="shared" si="4"/>
        <v>10.54720134</v>
      </c>
      <c r="H251" s="19">
        <f>'Tiktok Raw Data'!D251</f>
        <v>303</v>
      </c>
      <c r="I251" s="17">
        <f t="shared" si="5"/>
        <v>0.007782101167</v>
      </c>
      <c r="J251" s="20">
        <f>'Tiktok Raw Data'!E251</f>
        <v>2</v>
      </c>
      <c r="K251" s="19">
        <f t="shared" si="6"/>
        <v>227.5</v>
      </c>
      <c r="L251" s="19">
        <f>'Tiktok Raw Data'!F251</f>
        <v>455</v>
      </c>
    </row>
    <row r="252">
      <c r="A252" s="11">
        <f>'Tiktok Raw Data'!A252</f>
        <v>45908</v>
      </c>
      <c r="B252" s="14">
        <f t="shared" si="1"/>
        <v>9</v>
      </c>
      <c r="C252" s="12">
        <f>'Tiktok Raw Data'!B252</f>
        <v>54726</v>
      </c>
      <c r="D252" s="17">
        <f t="shared" si="2"/>
        <v>0.0141980046</v>
      </c>
      <c r="E252" s="12">
        <f>'Tiktok Raw Data'!C252</f>
        <v>777</v>
      </c>
      <c r="F252" s="19">
        <f t="shared" si="3"/>
        <v>1.055341055</v>
      </c>
      <c r="G252" s="19">
        <f t="shared" si="4"/>
        <v>14.98373716</v>
      </c>
      <c r="H252" s="19">
        <f>'Tiktok Raw Data'!D252</f>
        <v>820</v>
      </c>
      <c r="I252" s="17">
        <f t="shared" si="5"/>
        <v>0.02574002574</v>
      </c>
      <c r="J252" s="20">
        <f>'Tiktok Raw Data'!E252</f>
        <v>20</v>
      </c>
      <c r="K252" s="19">
        <f t="shared" si="6"/>
        <v>155.65</v>
      </c>
      <c r="L252" s="19">
        <f>'Tiktok Raw Data'!F252</f>
        <v>3113</v>
      </c>
    </row>
    <row r="253">
      <c r="A253" s="11">
        <f>'Tiktok Raw Data'!A253</f>
        <v>45909</v>
      </c>
      <c r="B253" s="14">
        <f t="shared" si="1"/>
        <v>9</v>
      </c>
      <c r="C253" s="12">
        <f>'Tiktok Raw Data'!B253</f>
        <v>25895</v>
      </c>
      <c r="D253" s="17">
        <f t="shared" si="2"/>
        <v>0.01996524426</v>
      </c>
      <c r="E253" s="12">
        <f>'Tiktok Raw Data'!C253</f>
        <v>517</v>
      </c>
      <c r="F253" s="19">
        <f t="shared" si="3"/>
        <v>0.6827852998</v>
      </c>
      <c r="G253" s="19">
        <f t="shared" si="4"/>
        <v>13.63197528</v>
      </c>
      <c r="H253" s="19">
        <f>'Tiktok Raw Data'!D253</f>
        <v>353</v>
      </c>
      <c r="I253" s="17">
        <f t="shared" si="5"/>
        <v>0.01160541586</v>
      </c>
      <c r="J253" s="20">
        <f>'Tiktok Raw Data'!E253</f>
        <v>6</v>
      </c>
      <c r="K253" s="19">
        <f t="shared" si="6"/>
        <v>177.8333333</v>
      </c>
      <c r="L253" s="19">
        <f>'Tiktok Raw Data'!F253</f>
        <v>1067</v>
      </c>
    </row>
    <row r="254">
      <c r="A254" s="11">
        <f>'Tiktok Raw Data'!A254</f>
        <v>45910</v>
      </c>
      <c r="B254" s="14">
        <f t="shared" si="1"/>
        <v>9</v>
      </c>
      <c r="C254" s="12">
        <f>'Tiktok Raw Data'!B254</f>
        <v>75927</v>
      </c>
      <c r="D254" s="17">
        <f t="shared" si="2"/>
        <v>0.019294849</v>
      </c>
      <c r="E254" s="12">
        <f>'Tiktok Raw Data'!C254</f>
        <v>1465</v>
      </c>
      <c r="F254" s="19">
        <f t="shared" si="3"/>
        <v>1.285324232</v>
      </c>
      <c r="G254" s="19">
        <f t="shared" si="4"/>
        <v>24.80013697</v>
      </c>
      <c r="H254" s="19">
        <f>'Tiktok Raw Data'!D254</f>
        <v>1883</v>
      </c>
      <c r="I254" s="17">
        <f t="shared" si="5"/>
        <v>0.01706484642</v>
      </c>
      <c r="J254" s="20">
        <f>'Tiktok Raw Data'!E254</f>
        <v>25</v>
      </c>
      <c r="K254" s="19">
        <f t="shared" si="6"/>
        <v>139</v>
      </c>
      <c r="L254" s="19">
        <f>'Tiktok Raw Data'!F254</f>
        <v>3475</v>
      </c>
    </row>
    <row r="255">
      <c r="A255" s="11">
        <f>'Tiktok Raw Data'!A255</f>
        <v>45911</v>
      </c>
      <c r="B255" s="14">
        <f t="shared" si="1"/>
        <v>9</v>
      </c>
      <c r="C255" s="12">
        <f>'Tiktok Raw Data'!B255</f>
        <v>78245</v>
      </c>
      <c r="D255" s="17">
        <f t="shared" si="2"/>
        <v>0.009764202185</v>
      </c>
      <c r="E255" s="12">
        <f>'Tiktok Raw Data'!C255</f>
        <v>764</v>
      </c>
      <c r="F255" s="19">
        <f t="shared" si="3"/>
        <v>1.047120419</v>
      </c>
      <c r="G255" s="19">
        <f t="shared" si="4"/>
        <v>10.22429548</v>
      </c>
      <c r="H255" s="19">
        <f>'Tiktok Raw Data'!D255</f>
        <v>800</v>
      </c>
      <c r="I255" s="17">
        <f t="shared" si="5"/>
        <v>0.02486910995</v>
      </c>
      <c r="J255" s="20">
        <f>'Tiktok Raw Data'!E255</f>
        <v>19</v>
      </c>
      <c r="K255" s="19">
        <f t="shared" si="6"/>
        <v>181.7368421</v>
      </c>
      <c r="L255" s="19">
        <f>'Tiktok Raw Data'!F255</f>
        <v>3453</v>
      </c>
    </row>
    <row r="256">
      <c r="A256" s="11">
        <f>'Tiktok Raw Data'!A256</f>
        <v>45912</v>
      </c>
      <c r="B256" s="14">
        <f t="shared" si="1"/>
        <v>9</v>
      </c>
      <c r="C256" s="12">
        <f>'Tiktok Raw Data'!B256</f>
        <v>59778</v>
      </c>
      <c r="D256" s="17">
        <f t="shared" si="2"/>
        <v>0.01544046305</v>
      </c>
      <c r="E256" s="12">
        <f>'Tiktok Raw Data'!C256</f>
        <v>923</v>
      </c>
      <c r="F256" s="19">
        <f t="shared" si="3"/>
        <v>0.9024918743</v>
      </c>
      <c r="G256" s="19">
        <f t="shared" si="4"/>
        <v>13.93489244</v>
      </c>
      <c r="H256" s="19">
        <f>'Tiktok Raw Data'!D256</f>
        <v>833</v>
      </c>
      <c r="I256" s="17">
        <f t="shared" si="5"/>
        <v>0.0173347779</v>
      </c>
      <c r="J256" s="20">
        <f>'Tiktok Raw Data'!E256</f>
        <v>16</v>
      </c>
      <c r="K256" s="19">
        <f t="shared" si="6"/>
        <v>178</v>
      </c>
      <c r="L256" s="19">
        <f>'Tiktok Raw Data'!F256</f>
        <v>2848</v>
      </c>
    </row>
    <row r="257">
      <c r="A257" s="11">
        <f>'Tiktok Raw Data'!A257</f>
        <v>45913</v>
      </c>
      <c r="B257" s="14">
        <f t="shared" si="1"/>
        <v>9</v>
      </c>
      <c r="C257" s="12">
        <f>'Tiktok Raw Data'!B257</f>
        <v>105615</v>
      </c>
      <c r="D257" s="17">
        <f t="shared" si="2"/>
        <v>0.01671164134</v>
      </c>
      <c r="E257" s="12">
        <f>'Tiktok Raw Data'!C257</f>
        <v>1765</v>
      </c>
      <c r="F257" s="19">
        <f t="shared" si="3"/>
        <v>0.7722379603</v>
      </c>
      <c r="G257" s="19">
        <f t="shared" si="4"/>
        <v>12.90536382</v>
      </c>
      <c r="H257" s="19">
        <f>'Tiktok Raw Data'!D257</f>
        <v>1363</v>
      </c>
      <c r="I257" s="17">
        <f t="shared" si="5"/>
        <v>0.02662889518</v>
      </c>
      <c r="J257" s="20">
        <f>'Tiktok Raw Data'!E257</f>
        <v>47</v>
      </c>
      <c r="K257" s="19">
        <f t="shared" si="6"/>
        <v>143.4680851</v>
      </c>
      <c r="L257" s="19">
        <f>'Tiktok Raw Data'!F257</f>
        <v>6743</v>
      </c>
    </row>
    <row r="258">
      <c r="A258" s="11">
        <f>'Tiktok Raw Data'!A258</f>
        <v>45914</v>
      </c>
      <c r="B258" s="14">
        <f t="shared" si="1"/>
        <v>9</v>
      </c>
      <c r="C258" s="12">
        <f>'Tiktok Raw Data'!B258</f>
        <v>98643</v>
      </c>
      <c r="D258" s="17">
        <f t="shared" si="2"/>
        <v>0.02296158876</v>
      </c>
      <c r="E258" s="12">
        <f>'Tiktok Raw Data'!C258</f>
        <v>2265</v>
      </c>
      <c r="F258" s="19">
        <f t="shared" si="3"/>
        <v>0.7412803532</v>
      </c>
      <c r="G258" s="19">
        <f t="shared" si="4"/>
        <v>17.02097463</v>
      </c>
      <c r="H258" s="19">
        <f>'Tiktok Raw Data'!D258</f>
        <v>1679</v>
      </c>
      <c r="I258" s="17">
        <f t="shared" si="5"/>
        <v>0.02207505519</v>
      </c>
      <c r="J258" s="20">
        <f>'Tiktok Raw Data'!E258</f>
        <v>50</v>
      </c>
      <c r="K258" s="19">
        <f t="shared" si="6"/>
        <v>170.78</v>
      </c>
      <c r="L258" s="19">
        <f>'Tiktok Raw Data'!F258</f>
        <v>8539</v>
      </c>
    </row>
    <row r="259">
      <c r="A259" s="11">
        <f>'Tiktok Raw Data'!A259</f>
        <v>45915</v>
      </c>
      <c r="B259" s="14">
        <f t="shared" si="1"/>
        <v>9</v>
      </c>
      <c r="C259" s="12">
        <f>'Tiktok Raw Data'!B259</f>
        <v>63590</v>
      </c>
      <c r="D259" s="17">
        <f t="shared" si="2"/>
        <v>0.01151124391</v>
      </c>
      <c r="E259" s="12">
        <f>'Tiktok Raw Data'!C259</f>
        <v>732</v>
      </c>
      <c r="F259" s="19">
        <f t="shared" si="3"/>
        <v>0.9972677596</v>
      </c>
      <c r="G259" s="19">
        <f t="shared" si="4"/>
        <v>11.47979242</v>
      </c>
      <c r="H259" s="19">
        <f>'Tiktok Raw Data'!D259</f>
        <v>730</v>
      </c>
      <c r="I259" s="17">
        <f t="shared" si="5"/>
        <v>0.01229508197</v>
      </c>
      <c r="J259" s="20">
        <f>'Tiktok Raw Data'!E259</f>
        <v>9</v>
      </c>
      <c r="K259" s="19">
        <f t="shared" si="6"/>
        <v>148.2222222</v>
      </c>
      <c r="L259" s="19">
        <f>'Tiktok Raw Data'!F259</f>
        <v>1334</v>
      </c>
    </row>
    <row r="260">
      <c r="A260" s="11">
        <f>'Tiktok Raw Data'!A260</f>
        <v>45916</v>
      </c>
      <c r="B260" s="14">
        <f t="shared" si="1"/>
        <v>9</v>
      </c>
      <c r="C260" s="12">
        <f>'Tiktok Raw Data'!B260</f>
        <v>68572</v>
      </c>
      <c r="D260" s="17">
        <f t="shared" si="2"/>
        <v>0.02435396372</v>
      </c>
      <c r="E260" s="12">
        <f>'Tiktok Raw Data'!C260</f>
        <v>1670</v>
      </c>
      <c r="F260" s="19">
        <f t="shared" si="3"/>
        <v>1.135329341</v>
      </c>
      <c r="G260" s="19">
        <f t="shared" si="4"/>
        <v>27.64976959</v>
      </c>
      <c r="H260" s="19">
        <f>'Tiktok Raw Data'!D260</f>
        <v>1896</v>
      </c>
      <c r="I260" s="17">
        <f t="shared" si="5"/>
        <v>0.01377245509</v>
      </c>
      <c r="J260" s="20">
        <f>'Tiktok Raw Data'!E260</f>
        <v>23</v>
      </c>
      <c r="K260" s="19">
        <f t="shared" si="6"/>
        <v>179.3043478</v>
      </c>
      <c r="L260" s="19">
        <f>'Tiktok Raw Data'!F260</f>
        <v>4124</v>
      </c>
    </row>
    <row r="261">
      <c r="A261" s="11">
        <f>'Tiktok Raw Data'!A261</f>
        <v>45917</v>
      </c>
      <c r="B261" s="14">
        <f t="shared" si="1"/>
        <v>9</v>
      </c>
      <c r="C261" s="12">
        <f>'Tiktok Raw Data'!B261</f>
        <v>46975</v>
      </c>
      <c r="D261" s="17">
        <f t="shared" si="2"/>
        <v>0.01513571048</v>
      </c>
      <c r="E261" s="12">
        <f>'Tiktok Raw Data'!C261</f>
        <v>711</v>
      </c>
      <c r="F261" s="19">
        <f t="shared" si="3"/>
        <v>1.046413502</v>
      </c>
      <c r="G261" s="19">
        <f t="shared" si="4"/>
        <v>15.83821181</v>
      </c>
      <c r="H261" s="19">
        <f>'Tiktok Raw Data'!D261</f>
        <v>744</v>
      </c>
      <c r="I261" s="17">
        <f t="shared" si="5"/>
        <v>0.01828410689</v>
      </c>
      <c r="J261" s="20">
        <f>'Tiktok Raw Data'!E261</f>
        <v>13</v>
      </c>
      <c r="K261" s="19">
        <f t="shared" si="6"/>
        <v>131.5384615</v>
      </c>
      <c r="L261" s="19">
        <f>'Tiktok Raw Data'!F261</f>
        <v>1710</v>
      </c>
    </row>
    <row r="262">
      <c r="A262" s="11">
        <f>'Tiktok Raw Data'!A262</f>
        <v>45918</v>
      </c>
      <c r="B262" s="14">
        <f t="shared" si="1"/>
        <v>9</v>
      </c>
      <c r="C262" s="12">
        <f>'Tiktok Raw Data'!B262</f>
        <v>23787</v>
      </c>
      <c r="D262" s="17">
        <f t="shared" si="2"/>
        <v>0.009458948165</v>
      </c>
      <c r="E262" s="12">
        <f>'Tiktok Raw Data'!C262</f>
        <v>225</v>
      </c>
      <c r="F262" s="19">
        <f t="shared" si="3"/>
        <v>1.16</v>
      </c>
      <c r="G262" s="19">
        <f t="shared" si="4"/>
        <v>10.97237987</v>
      </c>
      <c r="H262" s="19">
        <f>'Tiktok Raw Data'!D262</f>
        <v>261</v>
      </c>
      <c r="I262" s="17">
        <f t="shared" si="5"/>
        <v>0.01333333333</v>
      </c>
      <c r="J262" s="20">
        <f>'Tiktok Raw Data'!E262</f>
        <v>3</v>
      </c>
      <c r="K262" s="19">
        <f t="shared" si="6"/>
        <v>221.6666667</v>
      </c>
      <c r="L262" s="19">
        <f>'Tiktok Raw Data'!F262</f>
        <v>665</v>
      </c>
    </row>
    <row r="263">
      <c r="A263" s="11">
        <f>'Tiktok Raw Data'!A263</f>
        <v>45919</v>
      </c>
      <c r="B263" s="14">
        <f t="shared" si="1"/>
        <v>9</v>
      </c>
      <c r="C263" s="12">
        <f>'Tiktok Raw Data'!B263</f>
        <v>24284</v>
      </c>
      <c r="D263" s="17">
        <f t="shared" si="2"/>
        <v>0.006918135398</v>
      </c>
      <c r="E263" s="12">
        <f>'Tiktok Raw Data'!C263</f>
        <v>168</v>
      </c>
      <c r="F263" s="19">
        <f t="shared" si="3"/>
        <v>1.321428571</v>
      </c>
      <c r="G263" s="19">
        <f t="shared" si="4"/>
        <v>9.141821776</v>
      </c>
      <c r="H263" s="19">
        <f>'Tiktok Raw Data'!D263</f>
        <v>222</v>
      </c>
      <c r="I263" s="17">
        <f t="shared" si="5"/>
        <v>0.0119047619</v>
      </c>
      <c r="J263" s="20">
        <f>'Tiktok Raw Data'!E263</f>
        <v>2</v>
      </c>
      <c r="K263" s="19">
        <f t="shared" si="6"/>
        <v>166.5</v>
      </c>
      <c r="L263" s="19">
        <f>'Tiktok Raw Data'!F263</f>
        <v>333</v>
      </c>
    </row>
    <row r="264">
      <c r="A264" s="11">
        <f>'Tiktok Raw Data'!A264</f>
        <v>45920</v>
      </c>
      <c r="B264" s="14">
        <f t="shared" si="1"/>
        <v>9</v>
      </c>
      <c r="C264" s="12">
        <f>'Tiktok Raw Data'!B264</f>
        <v>20373</v>
      </c>
      <c r="D264" s="17">
        <f t="shared" si="2"/>
        <v>0.008393461935</v>
      </c>
      <c r="E264" s="12">
        <f>'Tiktok Raw Data'!C264</f>
        <v>171</v>
      </c>
      <c r="F264" s="19">
        <f t="shared" si="3"/>
        <v>1.251461988</v>
      </c>
      <c r="G264" s="19">
        <f t="shared" si="4"/>
        <v>10.50409856</v>
      </c>
      <c r="H264" s="19">
        <f>'Tiktok Raw Data'!D264</f>
        <v>214</v>
      </c>
      <c r="I264" s="17">
        <f t="shared" si="5"/>
        <v>0.01754385965</v>
      </c>
      <c r="J264" s="20">
        <f>'Tiktok Raw Data'!E264</f>
        <v>3</v>
      </c>
      <c r="K264" s="19">
        <f t="shared" si="6"/>
        <v>183.3333333</v>
      </c>
      <c r="L264" s="19">
        <f>'Tiktok Raw Data'!F264</f>
        <v>550</v>
      </c>
    </row>
    <row r="265">
      <c r="A265" s="11">
        <f>'Tiktok Raw Data'!A265</f>
        <v>45921</v>
      </c>
      <c r="B265" s="14">
        <f t="shared" si="1"/>
        <v>9</v>
      </c>
      <c r="C265" s="12">
        <f>'Tiktok Raw Data'!B265</f>
        <v>107000</v>
      </c>
      <c r="D265" s="17">
        <f t="shared" si="2"/>
        <v>0.01590654206</v>
      </c>
      <c r="E265" s="12">
        <f>'Tiktok Raw Data'!C265</f>
        <v>1702</v>
      </c>
      <c r="F265" s="19">
        <f t="shared" si="3"/>
        <v>0.9383078731</v>
      </c>
      <c r="G265" s="19">
        <f t="shared" si="4"/>
        <v>14.92523364</v>
      </c>
      <c r="H265" s="19">
        <f>'Tiktok Raw Data'!D265</f>
        <v>1597</v>
      </c>
      <c r="I265" s="17">
        <f t="shared" si="5"/>
        <v>0.01762632197</v>
      </c>
      <c r="J265" s="20">
        <f>'Tiktok Raw Data'!E265</f>
        <v>30</v>
      </c>
      <c r="K265" s="19">
        <f t="shared" si="6"/>
        <v>165.4</v>
      </c>
      <c r="L265" s="19">
        <f>'Tiktok Raw Data'!F265</f>
        <v>4962</v>
      </c>
    </row>
    <row r="266">
      <c r="A266" s="11">
        <f>'Tiktok Raw Data'!A266</f>
        <v>45922</v>
      </c>
      <c r="B266" s="14">
        <f t="shared" si="1"/>
        <v>9</v>
      </c>
      <c r="C266" s="12">
        <f>'Tiktok Raw Data'!B266</f>
        <v>83233</v>
      </c>
      <c r="D266" s="17">
        <f t="shared" si="2"/>
        <v>0.02283949876</v>
      </c>
      <c r="E266" s="12">
        <f>'Tiktok Raw Data'!C266</f>
        <v>1901</v>
      </c>
      <c r="F266" s="19">
        <f t="shared" si="3"/>
        <v>1.380852183</v>
      </c>
      <c r="G266" s="19">
        <f t="shared" si="4"/>
        <v>31.53797172</v>
      </c>
      <c r="H266" s="19">
        <f>'Tiktok Raw Data'!D266</f>
        <v>2625</v>
      </c>
      <c r="I266" s="17">
        <f t="shared" si="5"/>
        <v>0.02104155708</v>
      </c>
      <c r="J266" s="20">
        <f>'Tiktok Raw Data'!E266</f>
        <v>40</v>
      </c>
      <c r="K266" s="19">
        <f t="shared" si="6"/>
        <v>200.875</v>
      </c>
      <c r="L266" s="19">
        <f>'Tiktok Raw Data'!F266</f>
        <v>8035</v>
      </c>
    </row>
    <row r="267">
      <c r="A267" s="11">
        <f>'Tiktok Raw Data'!A267</f>
        <v>45923</v>
      </c>
      <c r="B267" s="14">
        <f t="shared" si="1"/>
        <v>9</v>
      </c>
      <c r="C267" s="12">
        <f>'Tiktok Raw Data'!B267</f>
        <v>31103</v>
      </c>
      <c r="D267" s="17">
        <f t="shared" si="2"/>
        <v>0.02932193036</v>
      </c>
      <c r="E267" s="12">
        <f>'Tiktok Raw Data'!C267</f>
        <v>912</v>
      </c>
      <c r="F267" s="19">
        <f t="shared" si="3"/>
        <v>0.8695175439</v>
      </c>
      <c r="G267" s="19">
        <f t="shared" si="4"/>
        <v>25.49593287</v>
      </c>
      <c r="H267" s="19">
        <f>'Tiktok Raw Data'!D267</f>
        <v>793</v>
      </c>
      <c r="I267" s="17">
        <f t="shared" si="5"/>
        <v>0.01315789474</v>
      </c>
      <c r="J267" s="20">
        <f>'Tiktok Raw Data'!E267</f>
        <v>12</v>
      </c>
      <c r="K267" s="19">
        <f t="shared" si="6"/>
        <v>193.9166667</v>
      </c>
      <c r="L267" s="19">
        <f>'Tiktok Raw Data'!F267</f>
        <v>2327</v>
      </c>
    </row>
    <row r="268">
      <c r="A268" s="11">
        <f>'Tiktok Raw Data'!A268</f>
        <v>45924</v>
      </c>
      <c r="B268" s="14">
        <f t="shared" si="1"/>
        <v>9</v>
      </c>
      <c r="C268" s="12">
        <f>'Tiktok Raw Data'!B268</f>
        <v>70541</v>
      </c>
      <c r="D268" s="17">
        <f t="shared" si="2"/>
        <v>0.0290894657</v>
      </c>
      <c r="E268" s="12">
        <f>'Tiktok Raw Data'!C268</f>
        <v>2052</v>
      </c>
      <c r="F268" s="19">
        <f t="shared" si="3"/>
        <v>0.8260233918</v>
      </c>
      <c r="G268" s="19">
        <f t="shared" si="4"/>
        <v>24.02857912</v>
      </c>
      <c r="H268" s="19">
        <f>'Tiktok Raw Data'!D268</f>
        <v>1695</v>
      </c>
      <c r="I268" s="17">
        <f t="shared" si="5"/>
        <v>0.022417154</v>
      </c>
      <c r="J268" s="20">
        <f>'Tiktok Raw Data'!E268</f>
        <v>46</v>
      </c>
      <c r="K268" s="19">
        <f t="shared" si="6"/>
        <v>114.2391304</v>
      </c>
      <c r="L268" s="19">
        <f>'Tiktok Raw Data'!F268</f>
        <v>5255</v>
      </c>
    </row>
    <row r="269">
      <c r="A269" s="11">
        <f>'Tiktok Raw Data'!A269</f>
        <v>45925</v>
      </c>
      <c r="B269" s="14">
        <f t="shared" si="1"/>
        <v>9</v>
      </c>
      <c r="C269" s="12">
        <f>'Tiktok Raw Data'!B269</f>
        <v>80992</v>
      </c>
      <c r="D269" s="17">
        <f t="shared" si="2"/>
        <v>0.0144335243</v>
      </c>
      <c r="E269" s="12">
        <f>'Tiktok Raw Data'!C269</f>
        <v>1169</v>
      </c>
      <c r="F269" s="19">
        <f t="shared" si="3"/>
        <v>1.207014542</v>
      </c>
      <c r="G269" s="19">
        <f t="shared" si="4"/>
        <v>17.42147373</v>
      </c>
      <c r="H269" s="19">
        <f>'Tiktok Raw Data'!D269</f>
        <v>1411</v>
      </c>
      <c r="I269" s="17">
        <f t="shared" si="5"/>
        <v>0.01368691189</v>
      </c>
      <c r="J269" s="20">
        <f>'Tiktok Raw Data'!E269</f>
        <v>16</v>
      </c>
      <c r="K269" s="19">
        <f t="shared" si="6"/>
        <v>108.6875</v>
      </c>
      <c r="L269" s="19">
        <f>'Tiktok Raw Data'!F269</f>
        <v>1739</v>
      </c>
    </row>
    <row r="270">
      <c r="A270" s="11">
        <f>'Tiktok Raw Data'!A270</f>
        <v>45926</v>
      </c>
      <c r="B270" s="14">
        <f t="shared" si="1"/>
        <v>9</v>
      </c>
      <c r="C270" s="12">
        <f>'Tiktok Raw Data'!B270</f>
        <v>89844</v>
      </c>
      <c r="D270" s="17">
        <f t="shared" si="2"/>
        <v>0.02238324206</v>
      </c>
      <c r="E270" s="12">
        <f>'Tiktok Raw Data'!C270</f>
        <v>2011</v>
      </c>
      <c r="F270" s="19">
        <f t="shared" si="3"/>
        <v>1.042267529</v>
      </c>
      <c r="G270" s="19">
        <f t="shared" si="4"/>
        <v>23.32932639</v>
      </c>
      <c r="H270" s="19">
        <f>'Tiktok Raw Data'!D270</f>
        <v>2096</v>
      </c>
      <c r="I270" s="17">
        <f t="shared" si="5"/>
        <v>0.02536051716</v>
      </c>
      <c r="J270" s="20">
        <f>'Tiktok Raw Data'!E270</f>
        <v>51</v>
      </c>
      <c r="K270" s="19">
        <f t="shared" si="6"/>
        <v>180.8235294</v>
      </c>
      <c r="L270" s="19">
        <f>'Tiktok Raw Data'!F270</f>
        <v>9222</v>
      </c>
    </row>
    <row r="271">
      <c r="A271" s="11">
        <f>'Tiktok Raw Data'!A271</f>
        <v>45927</v>
      </c>
      <c r="B271" s="14">
        <f t="shared" si="1"/>
        <v>9</v>
      </c>
      <c r="C271" s="12">
        <f>'Tiktok Raw Data'!B271</f>
        <v>53168</v>
      </c>
      <c r="D271" s="17">
        <f t="shared" si="2"/>
        <v>0.01662654228</v>
      </c>
      <c r="E271" s="12">
        <f>'Tiktok Raw Data'!C271</f>
        <v>884</v>
      </c>
      <c r="F271" s="19">
        <f t="shared" si="3"/>
        <v>0.8167420814</v>
      </c>
      <c r="G271" s="19">
        <f t="shared" si="4"/>
        <v>13.57959675</v>
      </c>
      <c r="H271" s="19">
        <f>'Tiktok Raw Data'!D271</f>
        <v>722</v>
      </c>
      <c r="I271" s="17">
        <f t="shared" si="5"/>
        <v>0.02036199095</v>
      </c>
      <c r="J271" s="20">
        <f>'Tiktok Raw Data'!E271</f>
        <v>18</v>
      </c>
      <c r="K271" s="19">
        <f t="shared" si="6"/>
        <v>176.7222222</v>
      </c>
      <c r="L271" s="19">
        <f>'Tiktok Raw Data'!F271</f>
        <v>3181</v>
      </c>
    </row>
    <row r="272">
      <c r="A272" s="11">
        <f>'Tiktok Raw Data'!A272</f>
        <v>45928</v>
      </c>
      <c r="B272" s="14">
        <f t="shared" si="1"/>
        <v>9</v>
      </c>
      <c r="C272" s="12">
        <f>'Tiktok Raw Data'!B272</f>
        <v>25790</v>
      </c>
      <c r="D272" s="17">
        <f t="shared" si="2"/>
        <v>0.01124466848</v>
      </c>
      <c r="E272" s="12">
        <f>'Tiktok Raw Data'!C272</f>
        <v>290</v>
      </c>
      <c r="F272" s="19">
        <f t="shared" si="3"/>
        <v>0.7896551724</v>
      </c>
      <c r="G272" s="19">
        <f t="shared" si="4"/>
        <v>8.879410624</v>
      </c>
      <c r="H272" s="19">
        <f>'Tiktok Raw Data'!D272</f>
        <v>229</v>
      </c>
      <c r="I272" s="17">
        <f t="shared" si="5"/>
        <v>0.01724137931</v>
      </c>
      <c r="J272" s="20">
        <f>'Tiktok Raw Data'!E272</f>
        <v>5</v>
      </c>
      <c r="K272" s="19">
        <f t="shared" si="6"/>
        <v>159.2</v>
      </c>
      <c r="L272" s="19">
        <f>'Tiktok Raw Data'!F272</f>
        <v>796</v>
      </c>
    </row>
    <row r="273">
      <c r="A273" s="11">
        <f>'Tiktok Raw Data'!A273</f>
        <v>45929</v>
      </c>
      <c r="B273" s="14">
        <f t="shared" si="1"/>
        <v>9</v>
      </c>
      <c r="C273" s="12">
        <f>'Tiktok Raw Data'!B273</f>
        <v>36441</v>
      </c>
      <c r="D273" s="17">
        <f t="shared" si="2"/>
        <v>0.0268927856</v>
      </c>
      <c r="E273" s="12">
        <f>'Tiktok Raw Data'!C273</f>
        <v>980</v>
      </c>
      <c r="F273" s="19">
        <f t="shared" si="3"/>
        <v>0.8285714286</v>
      </c>
      <c r="G273" s="19">
        <f t="shared" si="4"/>
        <v>22.28259378</v>
      </c>
      <c r="H273" s="19">
        <f>'Tiktok Raw Data'!D273</f>
        <v>812</v>
      </c>
      <c r="I273" s="17">
        <f t="shared" si="5"/>
        <v>0.01326530612</v>
      </c>
      <c r="J273" s="20">
        <f>'Tiktok Raw Data'!E273</f>
        <v>13</v>
      </c>
      <c r="K273" s="19">
        <f t="shared" si="6"/>
        <v>120</v>
      </c>
      <c r="L273" s="19">
        <f>'Tiktok Raw Data'!F273</f>
        <v>1560</v>
      </c>
    </row>
    <row r="274">
      <c r="A274" s="11">
        <f>'Tiktok Raw Data'!A274</f>
        <v>45930</v>
      </c>
      <c r="B274" s="14">
        <f t="shared" si="1"/>
        <v>9</v>
      </c>
      <c r="C274" s="12">
        <f>'Tiktok Raw Data'!B274</f>
        <v>50459</v>
      </c>
      <c r="D274" s="17">
        <f t="shared" si="2"/>
        <v>0.02782457044</v>
      </c>
      <c r="E274" s="12">
        <f>'Tiktok Raw Data'!C274</f>
        <v>1404</v>
      </c>
      <c r="F274" s="19">
        <f t="shared" si="3"/>
        <v>1.007122507</v>
      </c>
      <c r="G274" s="19">
        <f t="shared" si="4"/>
        <v>28.02275114</v>
      </c>
      <c r="H274" s="19">
        <f>'Tiktok Raw Data'!D274</f>
        <v>1414</v>
      </c>
      <c r="I274" s="17">
        <f t="shared" si="5"/>
        <v>0.01638176638</v>
      </c>
      <c r="J274" s="20">
        <f>'Tiktok Raw Data'!E274</f>
        <v>23</v>
      </c>
      <c r="K274" s="19">
        <f t="shared" si="6"/>
        <v>110.0869565</v>
      </c>
      <c r="L274" s="19">
        <f>'Tiktok Raw Data'!F274</f>
        <v>2532</v>
      </c>
    </row>
    <row r="275">
      <c r="A275" s="11">
        <f>'Tiktok Raw Data'!A275</f>
        <v>45931</v>
      </c>
      <c r="B275" s="14">
        <f t="shared" si="1"/>
        <v>10</v>
      </c>
      <c r="C275" s="12">
        <f>'Tiktok Raw Data'!B275</f>
        <v>67085</v>
      </c>
      <c r="D275" s="17">
        <f t="shared" si="2"/>
        <v>0.02850115525</v>
      </c>
      <c r="E275" s="12">
        <f>'Tiktok Raw Data'!C275</f>
        <v>1912</v>
      </c>
      <c r="F275" s="19">
        <f t="shared" si="3"/>
        <v>1.139121339</v>
      </c>
      <c r="G275" s="19">
        <f t="shared" si="4"/>
        <v>32.46627413</v>
      </c>
      <c r="H275" s="19">
        <f>'Tiktok Raw Data'!D275</f>
        <v>2178</v>
      </c>
      <c r="I275" s="17">
        <f t="shared" si="5"/>
        <v>0.01987447699</v>
      </c>
      <c r="J275" s="20">
        <f>'Tiktok Raw Data'!E275</f>
        <v>38</v>
      </c>
      <c r="K275" s="19">
        <f t="shared" si="6"/>
        <v>175.8157895</v>
      </c>
      <c r="L275" s="19">
        <f>'Tiktok Raw Data'!F275</f>
        <v>6681</v>
      </c>
    </row>
    <row r="276">
      <c r="A276" s="11">
        <f>'Tiktok Raw Data'!A276</f>
        <v>45932</v>
      </c>
      <c r="B276" s="14">
        <f t="shared" si="1"/>
        <v>10</v>
      </c>
      <c r="C276" s="12">
        <f>'Tiktok Raw Data'!B276</f>
        <v>84767</v>
      </c>
      <c r="D276" s="17">
        <f t="shared" si="2"/>
        <v>0.03068411056</v>
      </c>
      <c r="E276" s="12">
        <f>'Tiktok Raw Data'!C276</f>
        <v>2601</v>
      </c>
      <c r="F276" s="19">
        <f t="shared" si="3"/>
        <v>0.9888504421</v>
      </c>
      <c r="G276" s="19">
        <f t="shared" si="4"/>
        <v>30.3419963</v>
      </c>
      <c r="H276" s="19">
        <f>'Tiktok Raw Data'!D276</f>
        <v>2572</v>
      </c>
      <c r="I276" s="17">
        <f t="shared" si="5"/>
        <v>0.02306805075</v>
      </c>
      <c r="J276" s="20">
        <f>'Tiktok Raw Data'!E276</f>
        <v>60</v>
      </c>
      <c r="K276" s="19">
        <f t="shared" si="6"/>
        <v>103.0333333</v>
      </c>
      <c r="L276" s="19">
        <f>'Tiktok Raw Data'!F276</f>
        <v>6182</v>
      </c>
    </row>
    <row r="277">
      <c r="A277" s="11">
        <f>'Tiktok Raw Data'!A277</f>
        <v>45933</v>
      </c>
      <c r="B277" s="14">
        <f t="shared" si="1"/>
        <v>10</v>
      </c>
      <c r="C277" s="12">
        <f>'Tiktok Raw Data'!B277</f>
        <v>92837</v>
      </c>
      <c r="D277" s="17">
        <f t="shared" si="2"/>
        <v>0.02453763047</v>
      </c>
      <c r="E277" s="12">
        <f>'Tiktok Raw Data'!C277</f>
        <v>2278</v>
      </c>
      <c r="F277" s="19">
        <f t="shared" si="3"/>
        <v>0.6145741879</v>
      </c>
      <c r="G277" s="19">
        <f t="shared" si="4"/>
        <v>15.08019432</v>
      </c>
      <c r="H277" s="19">
        <f>'Tiktok Raw Data'!D277</f>
        <v>1400</v>
      </c>
      <c r="I277" s="17">
        <f t="shared" si="5"/>
        <v>0.01931518876</v>
      </c>
      <c r="J277" s="20">
        <f>'Tiktok Raw Data'!E277</f>
        <v>44</v>
      </c>
      <c r="K277" s="19">
        <f t="shared" si="6"/>
        <v>176.4090909</v>
      </c>
      <c r="L277" s="19">
        <f>'Tiktok Raw Data'!F277</f>
        <v>7762</v>
      </c>
    </row>
    <row r="278">
      <c r="A278" s="11">
        <f>'Tiktok Raw Data'!A278</f>
        <v>45934</v>
      </c>
      <c r="B278" s="14">
        <f t="shared" si="1"/>
        <v>10</v>
      </c>
      <c r="C278" s="12">
        <f>'Tiktok Raw Data'!B278</f>
        <v>91518</v>
      </c>
      <c r="D278" s="17">
        <f t="shared" si="2"/>
        <v>0.02283703752</v>
      </c>
      <c r="E278" s="12">
        <f>'Tiktok Raw Data'!C278</f>
        <v>2090</v>
      </c>
      <c r="F278" s="19">
        <f t="shared" si="3"/>
        <v>0.9244019139</v>
      </c>
      <c r="G278" s="19">
        <f t="shared" si="4"/>
        <v>21.11060119</v>
      </c>
      <c r="H278" s="19">
        <f>'Tiktok Raw Data'!D278</f>
        <v>1932</v>
      </c>
      <c r="I278" s="17">
        <f t="shared" si="5"/>
        <v>0.02105263158</v>
      </c>
      <c r="J278" s="20">
        <f>'Tiktok Raw Data'!E278</f>
        <v>44</v>
      </c>
      <c r="K278" s="19">
        <f t="shared" si="6"/>
        <v>202.9545455</v>
      </c>
      <c r="L278" s="19">
        <f>'Tiktok Raw Data'!F278</f>
        <v>8930</v>
      </c>
    </row>
    <row r="279">
      <c r="A279" s="11">
        <f>'Tiktok Raw Data'!A279</f>
        <v>45935</v>
      </c>
      <c r="B279" s="14">
        <f t="shared" si="1"/>
        <v>10</v>
      </c>
      <c r="C279" s="12">
        <f>'Tiktok Raw Data'!B279</f>
        <v>60713</v>
      </c>
      <c r="D279" s="17">
        <f t="shared" si="2"/>
        <v>0.01653682078</v>
      </c>
      <c r="E279" s="12">
        <f>'Tiktok Raw Data'!C279</f>
        <v>1004</v>
      </c>
      <c r="F279" s="19">
        <f t="shared" si="3"/>
        <v>0.9442231076</v>
      </c>
      <c r="G279" s="19">
        <f t="shared" si="4"/>
        <v>15.61444831</v>
      </c>
      <c r="H279" s="19">
        <f>'Tiktok Raw Data'!D279</f>
        <v>948</v>
      </c>
      <c r="I279" s="17">
        <f t="shared" si="5"/>
        <v>0.01792828685</v>
      </c>
      <c r="J279" s="20">
        <f>'Tiktok Raw Data'!E279</f>
        <v>18</v>
      </c>
      <c r="K279" s="19">
        <f t="shared" si="6"/>
        <v>142.6111111</v>
      </c>
      <c r="L279" s="19">
        <f>'Tiktok Raw Data'!F279</f>
        <v>2567</v>
      </c>
    </row>
    <row r="280">
      <c r="A280" s="11">
        <f>'Tiktok Raw Data'!A280</f>
        <v>45936</v>
      </c>
      <c r="B280" s="14">
        <f t="shared" si="1"/>
        <v>10</v>
      </c>
      <c r="C280" s="12">
        <f>'Tiktok Raw Data'!B280</f>
        <v>64768</v>
      </c>
      <c r="D280" s="17">
        <f t="shared" si="2"/>
        <v>0.0262166502</v>
      </c>
      <c r="E280" s="12">
        <f>'Tiktok Raw Data'!C280</f>
        <v>1698</v>
      </c>
      <c r="F280" s="19">
        <f t="shared" si="3"/>
        <v>1.15606596</v>
      </c>
      <c r="G280" s="19">
        <f t="shared" si="4"/>
        <v>30.30817688</v>
      </c>
      <c r="H280" s="19">
        <f>'Tiktok Raw Data'!D280</f>
        <v>1963</v>
      </c>
      <c r="I280" s="17">
        <f t="shared" si="5"/>
        <v>0.01648998822</v>
      </c>
      <c r="J280" s="20">
        <f>'Tiktok Raw Data'!E280</f>
        <v>28</v>
      </c>
      <c r="K280" s="19">
        <f t="shared" si="6"/>
        <v>182.7142857</v>
      </c>
      <c r="L280" s="19">
        <f>'Tiktok Raw Data'!F280</f>
        <v>5116</v>
      </c>
    </row>
    <row r="281">
      <c r="A281" s="11">
        <f>'Tiktok Raw Data'!A281</f>
        <v>45937</v>
      </c>
      <c r="B281" s="14">
        <f t="shared" si="1"/>
        <v>10</v>
      </c>
      <c r="C281" s="12">
        <f>'Tiktok Raw Data'!B281</f>
        <v>27997</v>
      </c>
      <c r="D281" s="17">
        <f t="shared" si="2"/>
        <v>0.0166446405</v>
      </c>
      <c r="E281" s="12">
        <f>'Tiktok Raw Data'!C281</f>
        <v>466</v>
      </c>
      <c r="F281" s="19">
        <f t="shared" si="3"/>
        <v>0.80472103</v>
      </c>
      <c r="G281" s="19">
        <f t="shared" si="4"/>
        <v>13.39429225</v>
      </c>
      <c r="H281" s="19">
        <f>'Tiktok Raw Data'!D281</f>
        <v>375</v>
      </c>
      <c r="I281" s="17">
        <f t="shared" si="5"/>
        <v>0.01287553648</v>
      </c>
      <c r="J281" s="20">
        <f>'Tiktok Raw Data'!E281</f>
        <v>6</v>
      </c>
      <c r="K281" s="19">
        <f t="shared" si="6"/>
        <v>216</v>
      </c>
      <c r="L281" s="19">
        <f>'Tiktok Raw Data'!F281</f>
        <v>1296</v>
      </c>
    </row>
    <row r="282">
      <c r="A282" s="11">
        <f>'Tiktok Raw Data'!A282</f>
        <v>45938</v>
      </c>
      <c r="B282" s="14">
        <f t="shared" si="1"/>
        <v>10</v>
      </c>
      <c r="C282" s="12">
        <f>'Tiktok Raw Data'!B282</f>
        <v>103912</v>
      </c>
      <c r="D282" s="17">
        <f t="shared" si="2"/>
        <v>0.02453037185</v>
      </c>
      <c r="E282" s="12">
        <f>'Tiktok Raw Data'!C282</f>
        <v>2549</v>
      </c>
      <c r="F282" s="19">
        <f t="shared" si="3"/>
        <v>1.012946253</v>
      </c>
      <c r="G282" s="19">
        <f t="shared" si="4"/>
        <v>24.84794826</v>
      </c>
      <c r="H282" s="19">
        <f>'Tiktok Raw Data'!D282</f>
        <v>2582</v>
      </c>
      <c r="I282" s="17">
        <f t="shared" si="5"/>
        <v>0.0196155355</v>
      </c>
      <c r="J282" s="20">
        <f>'Tiktok Raw Data'!E282</f>
        <v>50</v>
      </c>
      <c r="K282" s="19">
        <f t="shared" si="6"/>
        <v>129.7</v>
      </c>
      <c r="L282" s="19">
        <f>'Tiktok Raw Data'!F282</f>
        <v>6485</v>
      </c>
    </row>
    <row r="283">
      <c r="A283" s="11">
        <f>'Tiktok Raw Data'!A283</f>
        <v>45939</v>
      </c>
      <c r="B283" s="14">
        <f t="shared" si="1"/>
        <v>10</v>
      </c>
      <c r="C283" s="12">
        <f>'Tiktok Raw Data'!B283</f>
        <v>72249</v>
      </c>
      <c r="D283" s="17">
        <f t="shared" si="2"/>
        <v>0.02029093828</v>
      </c>
      <c r="E283" s="12">
        <f>'Tiktok Raw Data'!C283</f>
        <v>1466</v>
      </c>
      <c r="F283" s="19">
        <f t="shared" si="3"/>
        <v>0.8772169168</v>
      </c>
      <c r="G283" s="19">
        <f t="shared" si="4"/>
        <v>17.79955432</v>
      </c>
      <c r="H283" s="19">
        <f>'Tiktok Raw Data'!D283</f>
        <v>1286</v>
      </c>
      <c r="I283" s="17">
        <f t="shared" si="5"/>
        <v>0.01296043656</v>
      </c>
      <c r="J283" s="20">
        <f>'Tiktok Raw Data'!E283</f>
        <v>19</v>
      </c>
      <c r="K283" s="19">
        <f t="shared" si="6"/>
        <v>174.1578947</v>
      </c>
      <c r="L283" s="19">
        <f>'Tiktok Raw Data'!F283</f>
        <v>3309</v>
      </c>
    </row>
    <row r="284">
      <c r="A284" s="11">
        <f>'Tiktok Raw Data'!A284</f>
        <v>45940</v>
      </c>
      <c r="B284" s="14">
        <f t="shared" si="1"/>
        <v>10</v>
      </c>
      <c r="C284" s="12">
        <f>'Tiktok Raw Data'!B284</f>
        <v>102424</v>
      </c>
      <c r="D284" s="17">
        <f t="shared" si="2"/>
        <v>0.01728110599</v>
      </c>
      <c r="E284" s="12">
        <f>'Tiktok Raw Data'!C284</f>
        <v>1770</v>
      </c>
      <c r="F284" s="19">
        <f t="shared" si="3"/>
        <v>0.7531073446</v>
      </c>
      <c r="G284" s="19">
        <f t="shared" si="4"/>
        <v>13.01452785</v>
      </c>
      <c r="H284" s="19">
        <f>'Tiktok Raw Data'!D284</f>
        <v>1333</v>
      </c>
      <c r="I284" s="17">
        <f t="shared" si="5"/>
        <v>0.02485875706</v>
      </c>
      <c r="J284" s="20">
        <f>'Tiktok Raw Data'!E284</f>
        <v>44</v>
      </c>
      <c r="K284" s="19">
        <f t="shared" si="6"/>
        <v>135.4090909</v>
      </c>
      <c r="L284" s="19">
        <f>'Tiktok Raw Data'!F284</f>
        <v>5958</v>
      </c>
    </row>
    <row r="285">
      <c r="A285" s="11">
        <f>'Tiktok Raw Data'!A285</f>
        <v>45941</v>
      </c>
      <c r="B285" s="14">
        <f t="shared" si="1"/>
        <v>10</v>
      </c>
      <c r="C285" s="12">
        <f>'Tiktok Raw Data'!B285</f>
        <v>81040</v>
      </c>
      <c r="D285" s="17">
        <f t="shared" si="2"/>
        <v>0.01695459033</v>
      </c>
      <c r="E285" s="12">
        <f>'Tiktok Raw Data'!C285</f>
        <v>1374</v>
      </c>
      <c r="F285" s="19">
        <f t="shared" si="3"/>
        <v>0.8042212518</v>
      </c>
      <c r="G285" s="19">
        <f t="shared" si="4"/>
        <v>13.63524186</v>
      </c>
      <c r="H285" s="19">
        <f>'Tiktok Raw Data'!D285</f>
        <v>1105</v>
      </c>
      <c r="I285" s="17">
        <f t="shared" si="5"/>
        <v>0.01455604076</v>
      </c>
      <c r="J285" s="20">
        <f>'Tiktok Raw Data'!E285</f>
        <v>20</v>
      </c>
      <c r="K285" s="19">
        <f t="shared" si="6"/>
        <v>150</v>
      </c>
      <c r="L285" s="19">
        <f>'Tiktok Raw Data'!F285</f>
        <v>3000</v>
      </c>
    </row>
    <row r="286">
      <c r="A286" s="11">
        <f>'Tiktok Raw Data'!A286</f>
        <v>45942</v>
      </c>
      <c r="B286" s="14">
        <f t="shared" si="1"/>
        <v>10</v>
      </c>
      <c r="C286" s="12">
        <f>'Tiktok Raw Data'!B286</f>
        <v>29842</v>
      </c>
      <c r="D286" s="17">
        <f t="shared" si="2"/>
        <v>0.01226459353</v>
      </c>
      <c r="E286" s="12">
        <f>'Tiktok Raw Data'!C286</f>
        <v>366</v>
      </c>
      <c r="F286" s="19">
        <f t="shared" si="3"/>
        <v>0.5628415301</v>
      </c>
      <c r="G286" s="19">
        <f t="shared" si="4"/>
        <v>6.903022586</v>
      </c>
      <c r="H286" s="19">
        <f>'Tiktok Raw Data'!D286</f>
        <v>206</v>
      </c>
      <c r="I286" s="17">
        <f t="shared" si="5"/>
        <v>0.008196721311</v>
      </c>
      <c r="J286" s="20">
        <f>'Tiktok Raw Data'!E286</f>
        <v>3</v>
      </c>
      <c r="K286" s="19">
        <f t="shared" si="6"/>
        <v>207.3333333</v>
      </c>
      <c r="L286" s="19">
        <f>'Tiktok Raw Data'!F286</f>
        <v>622</v>
      </c>
    </row>
    <row r="287">
      <c r="A287" s="11">
        <f>'Tiktok Raw Data'!A287</f>
        <v>45943</v>
      </c>
      <c r="B287" s="14">
        <f t="shared" si="1"/>
        <v>10</v>
      </c>
      <c r="C287" s="12">
        <f>'Tiktok Raw Data'!B287</f>
        <v>95787</v>
      </c>
      <c r="D287" s="17">
        <f t="shared" si="2"/>
        <v>0.03078705879</v>
      </c>
      <c r="E287" s="12">
        <f>'Tiktok Raw Data'!C287</f>
        <v>2949</v>
      </c>
      <c r="F287" s="19">
        <f t="shared" si="3"/>
        <v>0.6853170566</v>
      </c>
      <c r="G287" s="19">
        <f t="shared" si="4"/>
        <v>21.09889651</v>
      </c>
      <c r="H287" s="19">
        <f>'Tiktok Raw Data'!D287</f>
        <v>2021</v>
      </c>
      <c r="I287" s="17">
        <f t="shared" si="5"/>
        <v>0.01966768396</v>
      </c>
      <c r="J287" s="20">
        <f>'Tiktok Raw Data'!E287</f>
        <v>58</v>
      </c>
      <c r="K287" s="19">
        <f t="shared" si="6"/>
        <v>123.0689655</v>
      </c>
      <c r="L287" s="19">
        <f>'Tiktok Raw Data'!F287</f>
        <v>7138</v>
      </c>
    </row>
    <row r="288">
      <c r="A288" s="11">
        <f>'Tiktok Raw Data'!A288</f>
        <v>45944</v>
      </c>
      <c r="B288" s="14">
        <f t="shared" si="1"/>
        <v>10</v>
      </c>
      <c r="C288" s="12">
        <f>'Tiktok Raw Data'!B288</f>
        <v>42877</v>
      </c>
      <c r="D288" s="17">
        <f t="shared" si="2"/>
        <v>0.02467523381</v>
      </c>
      <c r="E288" s="12">
        <f>'Tiktok Raw Data'!C288</f>
        <v>1058</v>
      </c>
      <c r="F288" s="19">
        <f t="shared" si="3"/>
        <v>0.9924385633</v>
      </c>
      <c r="G288" s="19">
        <f t="shared" si="4"/>
        <v>24.48865359</v>
      </c>
      <c r="H288" s="19">
        <f>'Tiktok Raw Data'!D288</f>
        <v>1050</v>
      </c>
      <c r="I288" s="17">
        <f t="shared" si="5"/>
        <v>0.0179584121</v>
      </c>
      <c r="J288" s="20">
        <f>'Tiktok Raw Data'!E288</f>
        <v>19</v>
      </c>
      <c r="K288" s="19">
        <f t="shared" si="6"/>
        <v>152.5789474</v>
      </c>
      <c r="L288" s="19">
        <f>'Tiktok Raw Data'!F288</f>
        <v>2899</v>
      </c>
    </row>
    <row r="289">
      <c r="A289" s="11">
        <f>'Tiktok Raw Data'!A289</f>
        <v>45945</v>
      </c>
      <c r="B289" s="14">
        <f t="shared" si="1"/>
        <v>10</v>
      </c>
      <c r="C289" s="12">
        <f>'Tiktok Raw Data'!B289</f>
        <v>61603</v>
      </c>
      <c r="D289" s="17">
        <f t="shared" si="2"/>
        <v>0.02120026622</v>
      </c>
      <c r="E289" s="12">
        <f>'Tiktok Raw Data'!C289</f>
        <v>1306</v>
      </c>
      <c r="F289" s="19">
        <f t="shared" si="3"/>
        <v>1.156202144</v>
      </c>
      <c r="G289" s="19">
        <f t="shared" si="4"/>
        <v>24.51179326</v>
      </c>
      <c r="H289" s="19">
        <f>'Tiktok Raw Data'!D289</f>
        <v>1510</v>
      </c>
      <c r="I289" s="17">
        <f t="shared" si="5"/>
        <v>0.02220520674</v>
      </c>
      <c r="J289" s="20">
        <f>'Tiktok Raw Data'!E289</f>
        <v>29</v>
      </c>
      <c r="K289" s="19">
        <f t="shared" si="6"/>
        <v>177.2413793</v>
      </c>
      <c r="L289" s="19">
        <f>'Tiktok Raw Data'!F289</f>
        <v>5140</v>
      </c>
    </row>
    <row r="290">
      <c r="A290" s="11">
        <f>'Tiktok Raw Data'!A290</f>
        <v>45946</v>
      </c>
      <c r="B290" s="14">
        <f t="shared" si="1"/>
        <v>10</v>
      </c>
      <c r="C290" s="12">
        <f>'Tiktok Raw Data'!B290</f>
        <v>67465</v>
      </c>
      <c r="D290" s="17">
        <f t="shared" si="2"/>
        <v>0.01636404061</v>
      </c>
      <c r="E290" s="12">
        <f>'Tiktok Raw Data'!C290</f>
        <v>1104</v>
      </c>
      <c r="F290" s="19">
        <f t="shared" si="3"/>
        <v>0.7472826087</v>
      </c>
      <c r="G290" s="19">
        <f t="shared" si="4"/>
        <v>12.22856296</v>
      </c>
      <c r="H290" s="19">
        <f>'Tiktok Raw Data'!D290</f>
        <v>825</v>
      </c>
      <c r="I290" s="17">
        <f t="shared" si="5"/>
        <v>0.01721014493</v>
      </c>
      <c r="J290" s="20">
        <f>'Tiktok Raw Data'!E290</f>
        <v>19</v>
      </c>
      <c r="K290" s="19">
        <f t="shared" si="6"/>
        <v>175.5263158</v>
      </c>
      <c r="L290" s="19">
        <f>'Tiktok Raw Data'!F290</f>
        <v>3335</v>
      </c>
    </row>
    <row r="291">
      <c r="A291" s="11">
        <f>'Tiktok Raw Data'!A291</f>
        <v>45947</v>
      </c>
      <c r="B291" s="14">
        <f t="shared" si="1"/>
        <v>10</v>
      </c>
      <c r="C291" s="12">
        <f>'Tiktok Raw Data'!B291</f>
        <v>56121</v>
      </c>
      <c r="D291" s="17">
        <f t="shared" si="2"/>
        <v>0.01676734199</v>
      </c>
      <c r="E291" s="12">
        <f>'Tiktok Raw Data'!C291</f>
        <v>941</v>
      </c>
      <c r="F291" s="19">
        <f t="shared" si="3"/>
        <v>1.161530287</v>
      </c>
      <c r="G291" s="19">
        <f t="shared" si="4"/>
        <v>19.47577556</v>
      </c>
      <c r="H291" s="19">
        <f>'Tiktok Raw Data'!D291</f>
        <v>1093</v>
      </c>
      <c r="I291" s="17">
        <f t="shared" si="5"/>
        <v>0.01275239107</v>
      </c>
      <c r="J291" s="20">
        <f>'Tiktok Raw Data'!E291</f>
        <v>12</v>
      </c>
      <c r="K291" s="19">
        <f t="shared" si="6"/>
        <v>121.8333333</v>
      </c>
      <c r="L291" s="19">
        <f>'Tiktok Raw Data'!F291</f>
        <v>1462</v>
      </c>
    </row>
    <row r="292">
      <c r="A292" s="11">
        <f>'Tiktok Raw Data'!A292</f>
        <v>45948</v>
      </c>
      <c r="B292" s="14">
        <f t="shared" si="1"/>
        <v>10</v>
      </c>
      <c r="C292" s="12">
        <f>'Tiktok Raw Data'!B292</f>
        <v>33186</v>
      </c>
      <c r="D292" s="17">
        <f t="shared" si="2"/>
        <v>0.01163141084</v>
      </c>
      <c r="E292" s="12">
        <f>'Tiktok Raw Data'!C292</f>
        <v>386</v>
      </c>
      <c r="F292" s="19">
        <f t="shared" si="3"/>
        <v>0.8341968912</v>
      </c>
      <c r="G292" s="19">
        <f t="shared" si="4"/>
        <v>9.702886759</v>
      </c>
      <c r="H292" s="19">
        <f>'Tiktok Raw Data'!D292</f>
        <v>322</v>
      </c>
      <c r="I292" s="17">
        <f t="shared" si="5"/>
        <v>0.0207253886</v>
      </c>
      <c r="J292" s="20">
        <f>'Tiktok Raw Data'!E292</f>
        <v>8</v>
      </c>
      <c r="K292" s="19">
        <f t="shared" si="6"/>
        <v>150.125</v>
      </c>
      <c r="L292" s="19">
        <f>'Tiktok Raw Data'!F292</f>
        <v>1201</v>
      </c>
    </row>
    <row r="293">
      <c r="A293" s="11">
        <f>'Tiktok Raw Data'!A293</f>
        <v>45949</v>
      </c>
      <c r="B293" s="14">
        <f t="shared" si="1"/>
        <v>10</v>
      </c>
      <c r="C293" s="12">
        <f>'Tiktok Raw Data'!B293</f>
        <v>29150</v>
      </c>
      <c r="D293" s="17">
        <f t="shared" si="2"/>
        <v>0.01022298456</v>
      </c>
      <c r="E293" s="12">
        <f>'Tiktok Raw Data'!C293</f>
        <v>298</v>
      </c>
      <c r="F293" s="19">
        <f t="shared" si="3"/>
        <v>1.010067114</v>
      </c>
      <c r="G293" s="19">
        <f t="shared" si="4"/>
        <v>10.32590051</v>
      </c>
      <c r="H293" s="19">
        <f>'Tiktok Raw Data'!D293</f>
        <v>301</v>
      </c>
      <c r="I293" s="17">
        <f t="shared" si="5"/>
        <v>0.01006711409</v>
      </c>
      <c r="J293" s="20">
        <f>'Tiktok Raw Data'!E293</f>
        <v>3</v>
      </c>
      <c r="K293" s="19">
        <f t="shared" si="6"/>
        <v>258.6666667</v>
      </c>
      <c r="L293" s="19">
        <f>'Tiktok Raw Data'!F293</f>
        <v>776</v>
      </c>
    </row>
    <row r="294">
      <c r="A294" s="11">
        <f>'Tiktok Raw Data'!A294</f>
        <v>45950</v>
      </c>
      <c r="B294" s="14">
        <f t="shared" si="1"/>
        <v>10</v>
      </c>
      <c r="C294" s="12">
        <f>'Tiktok Raw Data'!B294</f>
        <v>98084</v>
      </c>
      <c r="D294" s="17">
        <f t="shared" si="2"/>
        <v>0.02340850699</v>
      </c>
      <c r="E294" s="12">
        <f>'Tiktok Raw Data'!C294</f>
        <v>2296</v>
      </c>
      <c r="F294" s="19">
        <f t="shared" si="3"/>
        <v>0.7539198606</v>
      </c>
      <c r="G294" s="19">
        <f t="shared" si="4"/>
        <v>17.64813833</v>
      </c>
      <c r="H294" s="19">
        <f>'Tiktok Raw Data'!D294</f>
        <v>1731</v>
      </c>
      <c r="I294" s="17">
        <f t="shared" si="5"/>
        <v>0.02047038328</v>
      </c>
      <c r="J294" s="20">
        <f>'Tiktok Raw Data'!E294</f>
        <v>47</v>
      </c>
      <c r="K294" s="19">
        <f t="shared" si="6"/>
        <v>131.0638298</v>
      </c>
      <c r="L294" s="19">
        <f>'Tiktok Raw Data'!F294</f>
        <v>6160</v>
      </c>
    </row>
    <row r="295">
      <c r="A295" s="11">
        <f>'Tiktok Raw Data'!A295</f>
        <v>45951</v>
      </c>
      <c r="B295" s="14">
        <f t="shared" si="1"/>
        <v>10</v>
      </c>
      <c r="C295" s="12">
        <f>'Tiktok Raw Data'!B295</f>
        <v>104761</v>
      </c>
      <c r="D295" s="17">
        <f t="shared" si="2"/>
        <v>0.02173518771</v>
      </c>
      <c r="E295" s="12">
        <f>'Tiktok Raw Data'!C295</f>
        <v>2277</v>
      </c>
      <c r="F295" s="19">
        <f t="shared" si="3"/>
        <v>0.9503732982</v>
      </c>
      <c r="G295" s="19">
        <f t="shared" si="4"/>
        <v>20.65654203</v>
      </c>
      <c r="H295" s="19">
        <f>'Tiktok Raw Data'!D295</f>
        <v>2164</v>
      </c>
      <c r="I295" s="17">
        <f t="shared" si="5"/>
        <v>0.02108036891</v>
      </c>
      <c r="J295" s="20">
        <f>'Tiktok Raw Data'!E295</f>
        <v>48</v>
      </c>
      <c r="K295" s="19">
        <f t="shared" si="6"/>
        <v>92.10416667</v>
      </c>
      <c r="L295" s="19">
        <f>'Tiktok Raw Data'!F295</f>
        <v>4421</v>
      </c>
    </row>
    <row r="296">
      <c r="A296" s="11">
        <f>'Tiktok Raw Data'!A296</f>
        <v>45952</v>
      </c>
      <c r="B296" s="14">
        <f t="shared" si="1"/>
        <v>10</v>
      </c>
      <c r="C296" s="12">
        <f>'Tiktok Raw Data'!B296</f>
        <v>65544</v>
      </c>
      <c r="D296" s="17">
        <f t="shared" si="2"/>
        <v>0.01736238252</v>
      </c>
      <c r="E296" s="12">
        <f>'Tiktok Raw Data'!C296</f>
        <v>1138</v>
      </c>
      <c r="F296" s="19">
        <f t="shared" si="3"/>
        <v>0.8057996485</v>
      </c>
      <c r="G296" s="19">
        <f t="shared" si="4"/>
        <v>13.99060173</v>
      </c>
      <c r="H296" s="19">
        <f>'Tiktok Raw Data'!D296</f>
        <v>917</v>
      </c>
      <c r="I296" s="17">
        <f t="shared" si="5"/>
        <v>0.01493848858</v>
      </c>
      <c r="J296" s="20">
        <f>'Tiktok Raw Data'!E296</f>
        <v>17</v>
      </c>
      <c r="K296" s="19">
        <f t="shared" si="6"/>
        <v>123.5294118</v>
      </c>
      <c r="L296" s="19">
        <f>'Tiktok Raw Data'!F296</f>
        <v>2100</v>
      </c>
    </row>
    <row r="297">
      <c r="A297" s="11">
        <f>'Tiktok Raw Data'!A297</f>
        <v>45953</v>
      </c>
      <c r="B297" s="14">
        <f t="shared" si="1"/>
        <v>10</v>
      </c>
      <c r="C297" s="12">
        <f>'Tiktok Raw Data'!B297</f>
        <v>70268</v>
      </c>
      <c r="D297" s="17">
        <f t="shared" si="2"/>
        <v>0.0140319918</v>
      </c>
      <c r="E297" s="12">
        <f>'Tiktok Raw Data'!C297</f>
        <v>986</v>
      </c>
      <c r="F297" s="19">
        <f t="shared" si="3"/>
        <v>0.7768762677</v>
      </c>
      <c r="G297" s="19">
        <f t="shared" si="4"/>
        <v>10.90112142</v>
      </c>
      <c r="H297" s="19">
        <f>'Tiktok Raw Data'!D297</f>
        <v>766</v>
      </c>
      <c r="I297" s="17">
        <f t="shared" si="5"/>
        <v>0.02231237323</v>
      </c>
      <c r="J297" s="20">
        <f>'Tiktok Raw Data'!E297</f>
        <v>22</v>
      </c>
      <c r="K297" s="19">
        <f t="shared" si="6"/>
        <v>197.5</v>
      </c>
      <c r="L297" s="19">
        <f>'Tiktok Raw Data'!F297</f>
        <v>4345</v>
      </c>
    </row>
    <row r="298">
      <c r="A298" s="11">
        <f>'Tiktok Raw Data'!A298</f>
        <v>45954</v>
      </c>
      <c r="B298" s="14">
        <f t="shared" si="1"/>
        <v>10</v>
      </c>
      <c r="C298" s="12">
        <f>'Tiktok Raw Data'!B298</f>
        <v>27111</v>
      </c>
      <c r="D298" s="17">
        <f t="shared" si="2"/>
        <v>0.02534026779</v>
      </c>
      <c r="E298" s="12">
        <f>'Tiktok Raw Data'!C298</f>
        <v>687</v>
      </c>
      <c r="F298" s="19">
        <f t="shared" si="3"/>
        <v>0.6622998544</v>
      </c>
      <c r="G298" s="19">
        <f t="shared" si="4"/>
        <v>16.78285567</v>
      </c>
      <c r="H298" s="19">
        <f>'Tiktok Raw Data'!D298</f>
        <v>455</v>
      </c>
      <c r="I298" s="17">
        <f t="shared" si="5"/>
        <v>0.01746724891</v>
      </c>
      <c r="J298" s="20">
        <f>'Tiktok Raw Data'!E298</f>
        <v>12</v>
      </c>
      <c r="K298" s="19">
        <f t="shared" si="6"/>
        <v>150.8333333</v>
      </c>
      <c r="L298" s="19">
        <f>'Tiktok Raw Data'!F298</f>
        <v>1810</v>
      </c>
    </row>
    <row r="299">
      <c r="A299" s="11">
        <f>'Tiktok Raw Data'!A299</f>
        <v>45955</v>
      </c>
      <c r="B299" s="14">
        <f t="shared" si="1"/>
        <v>10</v>
      </c>
      <c r="C299" s="12">
        <f>'Tiktok Raw Data'!B299</f>
        <v>95429</v>
      </c>
      <c r="D299" s="17">
        <f t="shared" si="2"/>
        <v>0.01637866896</v>
      </c>
      <c r="E299" s="12">
        <f>'Tiktok Raw Data'!C299</f>
        <v>1563</v>
      </c>
      <c r="F299" s="19">
        <f t="shared" si="3"/>
        <v>0.8822776711</v>
      </c>
      <c r="G299" s="19">
        <f t="shared" si="4"/>
        <v>14.4505339</v>
      </c>
      <c r="H299" s="19">
        <f>'Tiktok Raw Data'!D299</f>
        <v>1379</v>
      </c>
      <c r="I299" s="17">
        <f t="shared" si="5"/>
        <v>0.02111324376</v>
      </c>
      <c r="J299" s="20">
        <f>'Tiktok Raw Data'!E299</f>
        <v>33</v>
      </c>
      <c r="K299" s="19">
        <f t="shared" si="6"/>
        <v>114.8181818</v>
      </c>
      <c r="L299" s="19">
        <f>'Tiktok Raw Data'!F299</f>
        <v>3789</v>
      </c>
    </row>
    <row r="300">
      <c r="A300" s="11">
        <f>'Tiktok Raw Data'!A300</f>
        <v>45956</v>
      </c>
      <c r="B300" s="14">
        <f t="shared" si="1"/>
        <v>10</v>
      </c>
      <c r="C300" s="12">
        <f>'Tiktok Raw Data'!B300</f>
        <v>28585</v>
      </c>
      <c r="D300" s="17">
        <f t="shared" si="2"/>
        <v>0.01948574427</v>
      </c>
      <c r="E300" s="12">
        <f>'Tiktok Raw Data'!C300</f>
        <v>557</v>
      </c>
      <c r="F300" s="19">
        <f t="shared" si="3"/>
        <v>0.631956912</v>
      </c>
      <c r="G300" s="19">
        <f t="shared" si="4"/>
        <v>12.31415078</v>
      </c>
      <c r="H300" s="19">
        <f>'Tiktok Raw Data'!D300</f>
        <v>352</v>
      </c>
      <c r="I300" s="17">
        <f t="shared" si="5"/>
        <v>0.01615798923</v>
      </c>
      <c r="J300" s="20">
        <f>'Tiktok Raw Data'!E300</f>
        <v>9</v>
      </c>
      <c r="K300" s="19">
        <f t="shared" si="6"/>
        <v>189.5555556</v>
      </c>
      <c r="L300" s="19">
        <f>'Tiktok Raw Data'!F300</f>
        <v>1706</v>
      </c>
    </row>
    <row r="301">
      <c r="A301" s="11">
        <f>'Tiktok Raw Data'!A301</f>
        <v>45957</v>
      </c>
      <c r="B301" s="14">
        <f t="shared" si="1"/>
        <v>10</v>
      </c>
      <c r="C301" s="12">
        <f>'Tiktok Raw Data'!B301</f>
        <v>58874</v>
      </c>
      <c r="D301" s="17">
        <f t="shared" si="2"/>
        <v>0.01870095458</v>
      </c>
      <c r="E301" s="12">
        <f>'Tiktok Raw Data'!C301</f>
        <v>1101</v>
      </c>
      <c r="F301" s="19">
        <f t="shared" si="3"/>
        <v>0.7048138056</v>
      </c>
      <c r="G301" s="19">
        <f t="shared" si="4"/>
        <v>13.18069097</v>
      </c>
      <c r="H301" s="19">
        <f>'Tiktok Raw Data'!D301</f>
        <v>776</v>
      </c>
      <c r="I301" s="17">
        <f t="shared" si="5"/>
        <v>0.01725703906</v>
      </c>
      <c r="J301" s="20">
        <f>'Tiktok Raw Data'!E301</f>
        <v>19</v>
      </c>
      <c r="K301" s="19">
        <f t="shared" si="6"/>
        <v>183.9473684</v>
      </c>
      <c r="L301" s="19">
        <f>'Tiktok Raw Data'!F301</f>
        <v>3495</v>
      </c>
    </row>
    <row r="302">
      <c r="A302" s="11">
        <f>'Tiktok Raw Data'!A302</f>
        <v>45958</v>
      </c>
      <c r="B302" s="14">
        <f t="shared" si="1"/>
        <v>10</v>
      </c>
      <c r="C302" s="12">
        <f>'Tiktok Raw Data'!B302</f>
        <v>61164</v>
      </c>
      <c r="D302" s="17">
        <f t="shared" si="2"/>
        <v>0.01824602707</v>
      </c>
      <c r="E302" s="12">
        <f>'Tiktok Raw Data'!C302</f>
        <v>1116</v>
      </c>
      <c r="F302" s="19">
        <f t="shared" si="3"/>
        <v>0.9327956989</v>
      </c>
      <c r="G302" s="19">
        <f t="shared" si="4"/>
        <v>17.01981558</v>
      </c>
      <c r="H302" s="19">
        <f>'Tiktok Raw Data'!D302</f>
        <v>1041</v>
      </c>
      <c r="I302" s="17">
        <f t="shared" si="5"/>
        <v>0.02329749104</v>
      </c>
      <c r="J302" s="20">
        <f>'Tiktok Raw Data'!E302</f>
        <v>26</v>
      </c>
      <c r="K302" s="19">
        <f t="shared" si="6"/>
        <v>156.7307692</v>
      </c>
      <c r="L302" s="19">
        <f>'Tiktok Raw Data'!F302</f>
        <v>4075</v>
      </c>
    </row>
    <row r="303">
      <c r="A303" s="11">
        <f>'Tiktok Raw Data'!A303</f>
        <v>45959</v>
      </c>
      <c r="B303" s="14">
        <f t="shared" si="1"/>
        <v>10</v>
      </c>
      <c r="C303" s="12">
        <f>'Tiktok Raw Data'!B303</f>
        <v>111859</v>
      </c>
      <c r="D303" s="17">
        <f t="shared" si="2"/>
        <v>0.02249260229</v>
      </c>
      <c r="E303" s="12">
        <f>'Tiktok Raw Data'!C303</f>
        <v>2516</v>
      </c>
      <c r="F303" s="19">
        <f t="shared" si="3"/>
        <v>1.00317965</v>
      </c>
      <c r="G303" s="19">
        <f t="shared" si="4"/>
        <v>22.5641209</v>
      </c>
      <c r="H303" s="19">
        <f>'Tiktok Raw Data'!D303</f>
        <v>2524</v>
      </c>
      <c r="I303" s="17">
        <f t="shared" si="5"/>
        <v>0.01510333863</v>
      </c>
      <c r="J303" s="20">
        <f>'Tiktok Raw Data'!E303</f>
        <v>38</v>
      </c>
      <c r="K303" s="19">
        <f t="shared" si="6"/>
        <v>138.2894737</v>
      </c>
      <c r="L303" s="19">
        <f>'Tiktok Raw Data'!F303</f>
        <v>5255</v>
      </c>
    </row>
    <row r="304">
      <c r="A304" s="11">
        <f>'Tiktok Raw Data'!A304</f>
        <v>45960</v>
      </c>
      <c r="B304" s="14">
        <f t="shared" si="1"/>
        <v>10</v>
      </c>
      <c r="C304" s="12">
        <f>'Tiktok Raw Data'!B304</f>
        <v>69058</v>
      </c>
      <c r="D304" s="17">
        <f t="shared" si="2"/>
        <v>0.02151814417</v>
      </c>
      <c r="E304" s="12">
        <f>'Tiktok Raw Data'!C304</f>
        <v>1486</v>
      </c>
      <c r="F304" s="19">
        <f t="shared" si="3"/>
        <v>0.7604306864</v>
      </c>
      <c r="G304" s="19">
        <f t="shared" si="4"/>
        <v>16.36305714</v>
      </c>
      <c r="H304" s="19">
        <f>'Tiktok Raw Data'!D304</f>
        <v>1130</v>
      </c>
      <c r="I304" s="17">
        <f t="shared" si="5"/>
        <v>0.01884253028</v>
      </c>
      <c r="J304" s="20">
        <f>'Tiktok Raw Data'!E304</f>
        <v>28</v>
      </c>
      <c r="K304" s="19">
        <f t="shared" si="6"/>
        <v>194.9285714</v>
      </c>
      <c r="L304" s="19">
        <f>'Tiktok Raw Data'!F304</f>
        <v>5458</v>
      </c>
    </row>
    <row r="305">
      <c r="A305" s="11">
        <f>'Tiktok Raw Data'!A305</f>
        <v>45961</v>
      </c>
      <c r="B305" s="14">
        <f t="shared" si="1"/>
        <v>10</v>
      </c>
      <c r="C305" s="12">
        <f>'Tiktok Raw Data'!B305</f>
        <v>59125</v>
      </c>
      <c r="D305" s="17">
        <f t="shared" si="2"/>
        <v>0.02858350951</v>
      </c>
      <c r="E305" s="12">
        <f>'Tiktok Raw Data'!C305</f>
        <v>1690</v>
      </c>
      <c r="F305" s="19">
        <f t="shared" si="3"/>
        <v>0.8597633136</v>
      </c>
      <c r="G305" s="19">
        <f t="shared" si="4"/>
        <v>24.57505285</v>
      </c>
      <c r="H305" s="19">
        <f>'Tiktok Raw Data'!D305</f>
        <v>1453</v>
      </c>
      <c r="I305" s="17">
        <f t="shared" si="5"/>
        <v>0.02189349112</v>
      </c>
      <c r="J305" s="20">
        <f>'Tiktok Raw Data'!E305</f>
        <v>37</v>
      </c>
      <c r="K305" s="19">
        <f t="shared" si="6"/>
        <v>144.7567568</v>
      </c>
      <c r="L305" s="19">
        <f>'Tiktok Raw Data'!F305</f>
        <v>5356</v>
      </c>
    </row>
    <row r="306">
      <c r="A306" s="11">
        <f>'Tiktok Raw Data'!A306</f>
        <v>45962</v>
      </c>
      <c r="B306" s="14">
        <f t="shared" si="1"/>
        <v>11</v>
      </c>
      <c r="C306" s="12">
        <f>'Tiktok Raw Data'!B306</f>
        <v>24384</v>
      </c>
      <c r="D306" s="17">
        <f t="shared" si="2"/>
        <v>0.02144849081</v>
      </c>
      <c r="E306" s="12">
        <f>'Tiktok Raw Data'!C306</f>
        <v>523</v>
      </c>
      <c r="F306" s="19">
        <f t="shared" si="3"/>
        <v>1.080305927</v>
      </c>
      <c r="G306" s="19">
        <f t="shared" si="4"/>
        <v>23.17093176</v>
      </c>
      <c r="H306" s="19">
        <f>'Tiktok Raw Data'!D306</f>
        <v>565</v>
      </c>
      <c r="I306" s="17">
        <f t="shared" si="5"/>
        <v>0.01912045889</v>
      </c>
      <c r="J306" s="20">
        <f>'Tiktok Raw Data'!E306</f>
        <v>10</v>
      </c>
      <c r="K306" s="19">
        <f t="shared" si="6"/>
        <v>192.8</v>
      </c>
      <c r="L306" s="19">
        <f>'Tiktok Raw Data'!F306</f>
        <v>1928</v>
      </c>
    </row>
    <row r="307">
      <c r="A307" s="11">
        <f>'Tiktok Raw Data'!A307</f>
        <v>45963</v>
      </c>
      <c r="B307" s="14">
        <f t="shared" si="1"/>
        <v>11</v>
      </c>
      <c r="C307" s="12">
        <f>'Tiktok Raw Data'!B307</f>
        <v>102253</v>
      </c>
      <c r="D307" s="17">
        <f t="shared" si="2"/>
        <v>0.02308000743</v>
      </c>
      <c r="E307" s="12">
        <f>'Tiktok Raw Data'!C307</f>
        <v>2360</v>
      </c>
      <c r="F307" s="19">
        <f t="shared" si="3"/>
        <v>0.7406779661</v>
      </c>
      <c r="G307" s="19">
        <f t="shared" si="4"/>
        <v>17.09485296</v>
      </c>
      <c r="H307" s="19">
        <f>'Tiktok Raw Data'!D307</f>
        <v>1748</v>
      </c>
      <c r="I307" s="17">
        <f t="shared" si="5"/>
        <v>0.01228813559</v>
      </c>
      <c r="J307" s="20">
        <f>'Tiktok Raw Data'!E307</f>
        <v>29</v>
      </c>
      <c r="K307" s="19">
        <f t="shared" si="6"/>
        <v>220.8965517</v>
      </c>
      <c r="L307" s="19">
        <f>'Tiktok Raw Data'!F307</f>
        <v>6406</v>
      </c>
    </row>
    <row r="308">
      <c r="A308" s="11">
        <f>'Tiktok Raw Data'!A308</f>
        <v>45964</v>
      </c>
      <c r="B308" s="14">
        <f t="shared" si="1"/>
        <v>11</v>
      </c>
      <c r="C308" s="12">
        <f>'Tiktok Raw Data'!B308</f>
        <v>22978</v>
      </c>
      <c r="D308" s="17">
        <f t="shared" si="2"/>
        <v>0.01309948647</v>
      </c>
      <c r="E308" s="12">
        <f>'Tiktok Raw Data'!C308</f>
        <v>301</v>
      </c>
      <c r="F308" s="19">
        <f t="shared" si="3"/>
        <v>1.006644518</v>
      </c>
      <c r="G308" s="19">
        <f t="shared" si="4"/>
        <v>13.18652624</v>
      </c>
      <c r="H308" s="19">
        <f>'Tiktok Raw Data'!D308</f>
        <v>303</v>
      </c>
      <c r="I308" s="17">
        <f t="shared" si="5"/>
        <v>0.01661129568</v>
      </c>
      <c r="J308" s="20">
        <f>'Tiktok Raw Data'!E308</f>
        <v>5</v>
      </c>
      <c r="K308" s="19">
        <f t="shared" si="6"/>
        <v>203.2</v>
      </c>
      <c r="L308" s="19">
        <f>'Tiktok Raw Data'!F308</f>
        <v>1016</v>
      </c>
    </row>
    <row r="309">
      <c r="A309" s="11">
        <f>'Tiktok Raw Data'!A309</f>
        <v>45965</v>
      </c>
      <c r="B309" s="14">
        <f t="shared" si="1"/>
        <v>11</v>
      </c>
      <c r="C309" s="12">
        <f>'Tiktok Raw Data'!B309</f>
        <v>22356</v>
      </c>
      <c r="D309" s="17">
        <f t="shared" si="2"/>
        <v>0.01261406334</v>
      </c>
      <c r="E309" s="12">
        <f>'Tiktok Raw Data'!C309</f>
        <v>282</v>
      </c>
      <c r="F309" s="19">
        <f t="shared" si="3"/>
        <v>1.24822695</v>
      </c>
      <c r="G309" s="19">
        <f t="shared" si="4"/>
        <v>15.74521381</v>
      </c>
      <c r="H309" s="19">
        <f>'Tiktok Raw Data'!D309</f>
        <v>352</v>
      </c>
      <c r="I309" s="17">
        <f t="shared" si="5"/>
        <v>0.01773049645</v>
      </c>
      <c r="J309" s="20">
        <f>'Tiktok Raw Data'!E309</f>
        <v>5</v>
      </c>
      <c r="K309" s="19">
        <f t="shared" si="6"/>
        <v>145.4</v>
      </c>
      <c r="L309" s="19">
        <f>'Tiktok Raw Data'!F309</f>
        <v>727</v>
      </c>
    </row>
    <row r="310">
      <c r="A310" s="11">
        <f>'Tiktok Raw Data'!A310</f>
        <v>45966</v>
      </c>
      <c r="B310" s="14">
        <f t="shared" si="1"/>
        <v>11</v>
      </c>
      <c r="C310" s="12">
        <f>'Tiktok Raw Data'!B310</f>
        <v>30617</v>
      </c>
      <c r="D310" s="17">
        <f t="shared" si="2"/>
        <v>0.01887840089</v>
      </c>
      <c r="E310" s="12">
        <f>'Tiktok Raw Data'!C310</f>
        <v>578</v>
      </c>
      <c r="F310" s="19">
        <f t="shared" si="3"/>
        <v>1.053633218</v>
      </c>
      <c r="G310" s="19">
        <f t="shared" si="4"/>
        <v>19.89091028</v>
      </c>
      <c r="H310" s="19">
        <f>'Tiktok Raw Data'!D310</f>
        <v>609</v>
      </c>
      <c r="I310" s="17">
        <f t="shared" si="5"/>
        <v>0.02076124567</v>
      </c>
      <c r="J310" s="20">
        <f>'Tiktok Raw Data'!E310</f>
        <v>12</v>
      </c>
      <c r="K310" s="19">
        <f t="shared" si="6"/>
        <v>160.6666667</v>
      </c>
      <c r="L310" s="19">
        <f>'Tiktok Raw Data'!F310</f>
        <v>1928</v>
      </c>
    </row>
    <row r="311">
      <c r="A311" s="11">
        <f>'Tiktok Raw Data'!A311</f>
        <v>45967</v>
      </c>
      <c r="B311" s="14">
        <f t="shared" si="1"/>
        <v>11</v>
      </c>
      <c r="C311" s="12">
        <f>'Tiktok Raw Data'!B311</f>
        <v>105759</v>
      </c>
      <c r="D311" s="17">
        <f t="shared" si="2"/>
        <v>0.03157178113</v>
      </c>
      <c r="E311" s="12">
        <f>'Tiktok Raw Data'!C311</f>
        <v>3339</v>
      </c>
      <c r="F311" s="19">
        <f t="shared" si="3"/>
        <v>0.6451033243</v>
      </c>
      <c r="G311" s="19">
        <f t="shared" si="4"/>
        <v>20.36706096</v>
      </c>
      <c r="H311" s="19">
        <f>'Tiktok Raw Data'!D311</f>
        <v>2154</v>
      </c>
      <c r="I311" s="17">
        <f t="shared" si="5"/>
        <v>0.02306079665</v>
      </c>
      <c r="J311" s="20">
        <f>'Tiktok Raw Data'!E311</f>
        <v>77</v>
      </c>
      <c r="K311" s="19">
        <f t="shared" si="6"/>
        <v>172.4285714</v>
      </c>
      <c r="L311" s="19">
        <f>'Tiktok Raw Data'!F311</f>
        <v>13277</v>
      </c>
    </row>
    <row r="312">
      <c r="A312" s="11">
        <f>'Tiktok Raw Data'!A312</f>
        <v>45968</v>
      </c>
      <c r="B312" s="14">
        <f t="shared" si="1"/>
        <v>11</v>
      </c>
      <c r="C312" s="12">
        <f>'Tiktok Raw Data'!B312</f>
        <v>47770</v>
      </c>
      <c r="D312" s="17">
        <f t="shared" si="2"/>
        <v>0.01741678878</v>
      </c>
      <c r="E312" s="12">
        <f>'Tiktok Raw Data'!C312</f>
        <v>832</v>
      </c>
      <c r="F312" s="19">
        <f t="shared" si="3"/>
        <v>1.143028846</v>
      </c>
      <c r="G312" s="19">
        <f t="shared" si="4"/>
        <v>19.90789198</v>
      </c>
      <c r="H312" s="19">
        <f>'Tiktok Raw Data'!D312</f>
        <v>951</v>
      </c>
      <c r="I312" s="17">
        <f t="shared" si="5"/>
        <v>0.01923076923</v>
      </c>
      <c r="J312" s="20">
        <f>'Tiktok Raw Data'!E312</f>
        <v>16</v>
      </c>
      <c r="K312" s="19">
        <f t="shared" si="6"/>
        <v>118.25</v>
      </c>
      <c r="L312" s="19">
        <f>'Tiktok Raw Data'!F312</f>
        <v>1892</v>
      </c>
    </row>
    <row r="313">
      <c r="A313" s="11">
        <f>'Tiktok Raw Data'!A313</f>
        <v>45969</v>
      </c>
      <c r="B313" s="14">
        <f t="shared" si="1"/>
        <v>11</v>
      </c>
      <c r="C313" s="12">
        <f>'Tiktok Raw Data'!B313</f>
        <v>102215</v>
      </c>
      <c r="D313" s="17">
        <f t="shared" si="2"/>
        <v>0.02539744656</v>
      </c>
      <c r="E313" s="12">
        <f>'Tiktok Raw Data'!C313</f>
        <v>2596</v>
      </c>
      <c r="F313" s="19">
        <f t="shared" si="3"/>
        <v>0.8235747304</v>
      </c>
      <c r="G313" s="19">
        <f t="shared" si="4"/>
        <v>20.9166952</v>
      </c>
      <c r="H313" s="19">
        <f>'Tiktok Raw Data'!D313</f>
        <v>2138</v>
      </c>
      <c r="I313" s="17">
        <f t="shared" si="5"/>
        <v>0.02580893683</v>
      </c>
      <c r="J313" s="20">
        <f>'Tiktok Raw Data'!E313</f>
        <v>67</v>
      </c>
      <c r="K313" s="19">
        <f t="shared" si="6"/>
        <v>161.5074627</v>
      </c>
      <c r="L313" s="19">
        <f>'Tiktok Raw Data'!F313</f>
        <v>10821</v>
      </c>
    </row>
    <row r="314">
      <c r="A314" s="11">
        <f>'Tiktok Raw Data'!A314</f>
        <v>45970</v>
      </c>
      <c r="B314" s="14">
        <f t="shared" si="1"/>
        <v>11</v>
      </c>
      <c r="C314" s="12">
        <f>'Tiktok Raw Data'!B314</f>
        <v>79967</v>
      </c>
      <c r="D314" s="17">
        <f t="shared" si="2"/>
        <v>0.02443507947</v>
      </c>
      <c r="E314" s="12">
        <f>'Tiktok Raw Data'!C314</f>
        <v>1954</v>
      </c>
      <c r="F314" s="19">
        <f t="shared" si="3"/>
        <v>1.088024565</v>
      </c>
      <c r="G314" s="19">
        <f t="shared" si="4"/>
        <v>26.58596671</v>
      </c>
      <c r="H314" s="19">
        <f>'Tiktok Raw Data'!D314</f>
        <v>2126</v>
      </c>
      <c r="I314" s="17">
        <f t="shared" si="5"/>
        <v>0.02507676561</v>
      </c>
      <c r="J314" s="20">
        <f>'Tiktok Raw Data'!E314</f>
        <v>49</v>
      </c>
      <c r="K314" s="19">
        <f t="shared" si="6"/>
        <v>151.7142857</v>
      </c>
      <c r="L314" s="19">
        <f>'Tiktok Raw Data'!F314</f>
        <v>7434</v>
      </c>
    </row>
    <row r="315">
      <c r="A315" s="11">
        <f>'Tiktok Raw Data'!A315</f>
        <v>45971</v>
      </c>
      <c r="B315" s="14">
        <f t="shared" si="1"/>
        <v>11</v>
      </c>
      <c r="C315" s="12">
        <f>'Tiktok Raw Data'!B315</f>
        <v>30876</v>
      </c>
      <c r="D315" s="17">
        <f t="shared" si="2"/>
        <v>0.01884959192</v>
      </c>
      <c r="E315" s="12">
        <f>'Tiktok Raw Data'!C315</f>
        <v>582</v>
      </c>
      <c r="F315" s="19">
        <f t="shared" si="3"/>
        <v>0.7594501718</v>
      </c>
      <c r="G315" s="19">
        <f t="shared" si="4"/>
        <v>14.31532582</v>
      </c>
      <c r="H315" s="19">
        <f>'Tiktok Raw Data'!D315</f>
        <v>442</v>
      </c>
      <c r="I315" s="17">
        <f t="shared" si="5"/>
        <v>0.0206185567</v>
      </c>
      <c r="J315" s="20">
        <f>'Tiktok Raw Data'!E315</f>
        <v>12</v>
      </c>
      <c r="K315" s="19">
        <f t="shared" si="6"/>
        <v>147.6666667</v>
      </c>
      <c r="L315" s="19">
        <f>'Tiktok Raw Data'!F315</f>
        <v>1772</v>
      </c>
    </row>
    <row r="316">
      <c r="A316" s="11">
        <f>'Tiktok Raw Data'!A316</f>
        <v>45972</v>
      </c>
      <c r="B316" s="14">
        <f t="shared" si="1"/>
        <v>11</v>
      </c>
      <c r="C316" s="12">
        <f>'Tiktok Raw Data'!B316</f>
        <v>49477</v>
      </c>
      <c r="D316" s="17">
        <f t="shared" si="2"/>
        <v>0.01093437355</v>
      </c>
      <c r="E316" s="12">
        <f>'Tiktok Raw Data'!C316</f>
        <v>541</v>
      </c>
      <c r="F316" s="19">
        <f t="shared" si="3"/>
        <v>0.5896487985</v>
      </c>
      <c r="G316" s="19">
        <f t="shared" si="4"/>
        <v>6.447440225</v>
      </c>
      <c r="H316" s="19">
        <f>'Tiktok Raw Data'!D316</f>
        <v>319</v>
      </c>
      <c r="I316" s="17">
        <f t="shared" si="5"/>
        <v>0.02402957486</v>
      </c>
      <c r="J316" s="20">
        <f>'Tiktok Raw Data'!E316</f>
        <v>13</v>
      </c>
      <c r="K316" s="19">
        <f t="shared" si="6"/>
        <v>116.6153846</v>
      </c>
      <c r="L316" s="19">
        <f>'Tiktok Raw Data'!F316</f>
        <v>1516</v>
      </c>
    </row>
    <row r="317">
      <c r="A317" s="11">
        <f>'Tiktok Raw Data'!A317</f>
        <v>45973</v>
      </c>
      <c r="B317" s="14">
        <f t="shared" si="1"/>
        <v>11</v>
      </c>
      <c r="C317" s="12">
        <f>'Tiktok Raw Data'!B317</f>
        <v>64687</v>
      </c>
      <c r="D317" s="17">
        <f t="shared" si="2"/>
        <v>0.01361942894</v>
      </c>
      <c r="E317" s="12">
        <f>'Tiktok Raw Data'!C317</f>
        <v>881</v>
      </c>
      <c r="F317" s="19">
        <f t="shared" si="3"/>
        <v>1.222474461</v>
      </c>
      <c r="G317" s="19">
        <f t="shared" si="4"/>
        <v>16.64940405</v>
      </c>
      <c r="H317" s="19">
        <f>'Tiktok Raw Data'!D317</f>
        <v>1077</v>
      </c>
      <c r="I317" s="17">
        <f t="shared" si="5"/>
        <v>0.01929625426</v>
      </c>
      <c r="J317" s="20">
        <f>'Tiktok Raw Data'!E317</f>
        <v>17</v>
      </c>
      <c r="K317" s="19">
        <f t="shared" si="6"/>
        <v>229.9411765</v>
      </c>
      <c r="L317" s="19">
        <f>'Tiktok Raw Data'!F317</f>
        <v>3909</v>
      </c>
    </row>
    <row r="318">
      <c r="A318" s="11">
        <f>'Tiktok Raw Data'!A318</f>
        <v>45974</v>
      </c>
      <c r="B318" s="14">
        <f t="shared" si="1"/>
        <v>11</v>
      </c>
      <c r="C318" s="12">
        <f>'Tiktok Raw Data'!B318</f>
        <v>105163</v>
      </c>
      <c r="D318" s="17">
        <f t="shared" si="2"/>
        <v>0.02953510265</v>
      </c>
      <c r="E318" s="12">
        <f>'Tiktok Raw Data'!C318</f>
        <v>3106</v>
      </c>
      <c r="F318" s="19">
        <f t="shared" si="3"/>
        <v>0.7231165486</v>
      </c>
      <c r="G318" s="19">
        <f t="shared" si="4"/>
        <v>21.35732149</v>
      </c>
      <c r="H318" s="19">
        <f>'Tiktok Raw Data'!D318</f>
        <v>2246</v>
      </c>
      <c r="I318" s="17">
        <f t="shared" si="5"/>
        <v>0.01191242756</v>
      </c>
      <c r="J318" s="20">
        <f>'Tiktok Raw Data'!E318</f>
        <v>37</v>
      </c>
      <c r="K318" s="19">
        <f t="shared" si="6"/>
        <v>111.2702703</v>
      </c>
      <c r="L318" s="19">
        <f>'Tiktok Raw Data'!F318</f>
        <v>4117</v>
      </c>
    </row>
    <row r="319">
      <c r="A319" s="11">
        <f>'Tiktok Raw Data'!A319</f>
        <v>45975</v>
      </c>
      <c r="B319" s="14">
        <f t="shared" si="1"/>
        <v>11</v>
      </c>
      <c r="C319" s="12">
        <f>'Tiktok Raw Data'!B319</f>
        <v>93878</v>
      </c>
      <c r="D319" s="17">
        <f t="shared" si="2"/>
        <v>0.01851338972</v>
      </c>
      <c r="E319" s="12">
        <f>'Tiktok Raw Data'!C319</f>
        <v>1738</v>
      </c>
      <c r="F319" s="19">
        <f t="shared" si="3"/>
        <v>1.052934407</v>
      </c>
      <c r="G319" s="19">
        <f t="shared" si="4"/>
        <v>19.49338503</v>
      </c>
      <c r="H319" s="19">
        <f>'Tiktok Raw Data'!D319</f>
        <v>1830</v>
      </c>
      <c r="I319" s="17">
        <f t="shared" si="5"/>
        <v>0.01265822785</v>
      </c>
      <c r="J319" s="20">
        <f>'Tiktok Raw Data'!E319</f>
        <v>22</v>
      </c>
      <c r="K319" s="19">
        <f t="shared" si="6"/>
        <v>150.2727273</v>
      </c>
      <c r="L319" s="19">
        <f>'Tiktok Raw Data'!F319</f>
        <v>3306</v>
      </c>
    </row>
    <row r="320">
      <c r="A320" s="11">
        <f>'Tiktok Raw Data'!A320</f>
        <v>45976</v>
      </c>
      <c r="B320" s="14">
        <f t="shared" si="1"/>
        <v>11</v>
      </c>
      <c r="C320" s="12">
        <f>'Tiktok Raw Data'!B320</f>
        <v>82506</v>
      </c>
      <c r="D320" s="17">
        <f t="shared" si="2"/>
        <v>0.01672605629</v>
      </c>
      <c r="E320" s="12">
        <f>'Tiktok Raw Data'!C320</f>
        <v>1380</v>
      </c>
      <c r="F320" s="19">
        <f t="shared" si="3"/>
        <v>0.7891304348</v>
      </c>
      <c r="G320" s="19">
        <f t="shared" si="4"/>
        <v>13.19904007</v>
      </c>
      <c r="H320" s="19">
        <f>'Tiktok Raw Data'!D320</f>
        <v>1089</v>
      </c>
      <c r="I320" s="17">
        <f t="shared" si="5"/>
        <v>0.0152173913</v>
      </c>
      <c r="J320" s="20">
        <f>'Tiktok Raw Data'!E320</f>
        <v>21</v>
      </c>
      <c r="K320" s="19">
        <f t="shared" si="6"/>
        <v>122.1904762</v>
      </c>
      <c r="L320" s="19">
        <f>'Tiktok Raw Data'!F320</f>
        <v>2566</v>
      </c>
    </row>
    <row r="321">
      <c r="A321" s="11">
        <f>'Tiktok Raw Data'!A321</f>
        <v>45977</v>
      </c>
      <c r="B321" s="14">
        <f t="shared" si="1"/>
        <v>11</v>
      </c>
      <c r="C321" s="12">
        <f>'Tiktok Raw Data'!B321</f>
        <v>60772</v>
      </c>
      <c r="D321" s="17">
        <f t="shared" si="2"/>
        <v>0.01273612848</v>
      </c>
      <c r="E321" s="12">
        <f>'Tiktok Raw Data'!C321</f>
        <v>774</v>
      </c>
      <c r="F321" s="19">
        <f t="shared" si="3"/>
        <v>0.8074935401</v>
      </c>
      <c r="G321" s="19">
        <f t="shared" si="4"/>
        <v>10.28434147</v>
      </c>
      <c r="H321" s="19">
        <f>'Tiktok Raw Data'!D321</f>
        <v>625</v>
      </c>
      <c r="I321" s="17">
        <f t="shared" si="5"/>
        <v>0.0180878553</v>
      </c>
      <c r="J321" s="20">
        <f>'Tiktok Raw Data'!E321</f>
        <v>14</v>
      </c>
      <c r="K321" s="19">
        <f t="shared" si="6"/>
        <v>154.8571429</v>
      </c>
      <c r="L321" s="19">
        <f>'Tiktok Raw Data'!F321</f>
        <v>2168</v>
      </c>
    </row>
    <row r="322">
      <c r="A322" s="11">
        <f>'Tiktok Raw Data'!A322</f>
        <v>45978</v>
      </c>
      <c r="B322" s="14">
        <f t="shared" si="1"/>
        <v>11</v>
      </c>
      <c r="C322" s="12">
        <f>'Tiktok Raw Data'!B322</f>
        <v>75895</v>
      </c>
      <c r="D322" s="17">
        <f t="shared" si="2"/>
        <v>0.03030502668</v>
      </c>
      <c r="E322" s="12">
        <f>'Tiktok Raw Data'!C322</f>
        <v>2300</v>
      </c>
      <c r="F322" s="19">
        <f t="shared" si="3"/>
        <v>0.8991304348</v>
      </c>
      <c r="G322" s="19">
        <f t="shared" si="4"/>
        <v>27.24817182</v>
      </c>
      <c r="H322" s="19">
        <f>'Tiktok Raw Data'!D322</f>
        <v>2068</v>
      </c>
      <c r="I322" s="17">
        <f t="shared" si="5"/>
        <v>0.02608695652</v>
      </c>
      <c r="J322" s="20">
        <f>'Tiktok Raw Data'!E322</f>
        <v>60</v>
      </c>
      <c r="K322" s="19">
        <f t="shared" si="6"/>
        <v>156.8166667</v>
      </c>
      <c r="L322" s="19">
        <f>'Tiktok Raw Data'!F322</f>
        <v>9409</v>
      </c>
    </row>
    <row r="323">
      <c r="A323" s="11">
        <f>'Tiktok Raw Data'!A323</f>
        <v>45979</v>
      </c>
      <c r="B323" s="14">
        <f t="shared" si="1"/>
        <v>11</v>
      </c>
      <c r="C323" s="12">
        <f>'Tiktok Raw Data'!B323</f>
        <v>85574</v>
      </c>
      <c r="D323" s="17">
        <f t="shared" si="2"/>
        <v>0.01612639353</v>
      </c>
      <c r="E323" s="12">
        <f>'Tiktok Raw Data'!C323</f>
        <v>1380</v>
      </c>
      <c r="F323" s="19">
        <f t="shared" si="3"/>
        <v>0.8644927536</v>
      </c>
      <c r="G323" s="19">
        <f t="shared" si="4"/>
        <v>13.94115035</v>
      </c>
      <c r="H323" s="19">
        <f>'Tiktok Raw Data'!D323</f>
        <v>1193</v>
      </c>
      <c r="I323" s="17">
        <f t="shared" si="5"/>
        <v>0.02028985507</v>
      </c>
      <c r="J323" s="20">
        <f>'Tiktok Raw Data'!E323</f>
        <v>28</v>
      </c>
      <c r="K323" s="19">
        <f t="shared" si="6"/>
        <v>179.25</v>
      </c>
      <c r="L323" s="19">
        <f>'Tiktok Raw Data'!F323</f>
        <v>5019</v>
      </c>
    </row>
    <row r="324">
      <c r="A324" s="11">
        <f>'Tiktok Raw Data'!A324</f>
        <v>45980</v>
      </c>
      <c r="B324" s="14">
        <f t="shared" si="1"/>
        <v>11</v>
      </c>
      <c r="C324" s="12">
        <f>'Tiktok Raw Data'!B324</f>
        <v>71516</v>
      </c>
      <c r="D324" s="17">
        <f t="shared" si="2"/>
        <v>0.01132613681</v>
      </c>
      <c r="E324" s="12">
        <f>'Tiktok Raw Data'!C324</f>
        <v>810</v>
      </c>
      <c r="F324" s="19">
        <f t="shared" si="3"/>
        <v>1.362962963</v>
      </c>
      <c r="G324" s="19">
        <f t="shared" si="4"/>
        <v>15.43710498</v>
      </c>
      <c r="H324" s="19">
        <f>'Tiktok Raw Data'!D324</f>
        <v>1104</v>
      </c>
      <c r="I324" s="17">
        <f t="shared" si="5"/>
        <v>0.01604938272</v>
      </c>
      <c r="J324" s="20">
        <f>'Tiktok Raw Data'!E324</f>
        <v>13</v>
      </c>
      <c r="K324" s="19">
        <f t="shared" si="6"/>
        <v>153.5384615</v>
      </c>
      <c r="L324" s="19">
        <f>'Tiktok Raw Data'!F324</f>
        <v>1996</v>
      </c>
    </row>
    <row r="325">
      <c r="A325" s="11">
        <f>'Tiktok Raw Data'!A325</f>
        <v>45981</v>
      </c>
      <c r="B325" s="14">
        <f t="shared" si="1"/>
        <v>11</v>
      </c>
      <c r="C325" s="12">
        <f>'Tiktok Raw Data'!B325</f>
        <v>93071</v>
      </c>
      <c r="D325" s="17">
        <f t="shared" si="2"/>
        <v>0.01882433841</v>
      </c>
      <c r="E325" s="12">
        <f>'Tiktok Raw Data'!C325</f>
        <v>1752</v>
      </c>
      <c r="F325" s="19">
        <f t="shared" si="3"/>
        <v>0.7819634703</v>
      </c>
      <c r="G325" s="19">
        <f t="shared" si="4"/>
        <v>14.71994499</v>
      </c>
      <c r="H325" s="19">
        <f>'Tiktok Raw Data'!D325</f>
        <v>1370</v>
      </c>
      <c r="I325" s="17">
        <f t="shared" si="5"/>
        <v>0.024543379</v>
      </c>
      <c r="J325" s="20">
        <f>'Tiktok Raw Data'!E325</f>
        <v>43</v>
      </c>
      <c r="K325" s="19">
        <f t="shared" si="6"/>
        <v>174.2790698</v>
      </c>
      <c r="L325" s="19">
        <f>'Tiktok Raw Data'!F325</f>
        <v>7494</v>
      </c>
    </row>
    <row r="326">
      <c r="A326" s="11">
        <f>'Tiktok Raw Data'!A326</f>
        <v>45982</v>
      </c>
      <c r="B326" s="14">
        <f t="shared" si="1"/>
        <v>11</v>
      </c>
      <c r="C326" s="12">
        <f>'Tiktok Raw Data'!B326</f>
        <v>34577</v>
      </c>
      <c r="D326" s="17">
        <f t="shared" si="2"/>
        <v>0.01026694045</v>
      </c>
      <c r="E326" s="12">
        <f>'Tiktok Raw Data'!C326</f>
        <v>355</v>
      </c>
      <c r="F326" s="19">
        <f t="shared" si="3"/>
        <v>0.9943661972</v>
      </c>
      <c r="G326" s="19">
        <f t="shared" si="4"/>
        <v>10.20909853</v>
      </c>
      <c r="H326" s="19">
        <f>'Tiktok Raw Data'!D326</f>
        <v>353</v>
      </c>
      <c r="I326" s="17">
        <f t="shared" si="5"/>
        <v>0.01971830986</v>
      </c>
      <c r="J326" s="20">
        <f>'Tiktok Raw Data'!E326</f>
        <v>7</v>
      </c>
      <c r="K326" s="19">
        <f t="shared" si="6"/>
        <v>234.1428571</v>
      </c>
      <c r="L326" s="19">
        <f>'Tiktok Raw Data'!F326</f>
        <v>1639</v>
      </c>
    </row>
    <row r="327">
      <c r="A327" s="11">
        <f>'Tiktok Raw Data'!A327</f>
        <v>45983</v>
      </c>
      <c r="B327" s="14">
        <f t="shared" si="1"/>
        <v>11</v>
      </c>
      <c r="C327" s="12">
        <f>'Tiktok Raw Data'!B327</f>
        <v>107430</v>
      </c>
      <c r="D327" s="17">
        <f t="shared" si="2"/>
        <v>0.02917248441</v>
      </c>
      <c r="E327" s="12">
        <f>'Tiktok Raw Data'!C327</f>
        <v>3134</v>
      </c>
      <c r="F327" s="19">
        <f t="shared" si="3"/>
        <v>0.8455647735</v>
      </c>
      <c r="G327" s="19">
        <f t="shared" si="4"/>
        <v>24.66722517</v>
      </c>
      <c r="H327" s="19">
        <f>'Tiktok Raw Data'!D327</f>
        <v>2650</v>
      </c>
      <c r="I327" s="17">
        <f t="shared" si="5"/>
        <v>0.01244416082</v>
      </c>
      <c r="J327" s="20">
        <f>'Tiktok Raw Data'!E327</f>
        <v>39</v>
      </c>
      <c r="K327" s="19">
        <f t="shared" si="6"/>
        <v>137.974359</v>
      </c>
      <c r="L327" s="19">
        <f>'Tiktok Raw Data'!F327</f>
        <v>5381</v>
      </c>
    </row>
    <row r="328">
      <c r="A328" s="11">
        <f>'Tiktok Raw Data'!A328</f>
        <v>45984</v>
      </c>
      <c r="B328" s="14">
        <f t="shared" si="1"/>
        <v>11</v>
      </c>
      <c r="C328" s="12">
        <f>'Tiktok Raw Data'!B328</f>
        <v>68697</v>
      </c>
      <c r="D328" s="17">
        <f t="shared" si="2"/>
        <v>0.01503704674</v>
      </c>
      <c r="E328" s="12">
        <f>'Tiktok Raw Data'!C328</f>
        <v>1033</v>
      </c>
      <c r="F328" s="19">
        <f t="shared" si="3"/>
        <v>0.9748305905</v>
      </c>
      <c r="G328" s="19">
        <f t="shared" si="4"/>
        <v>14.65857315</v>
      </c>
      <c r="H328" s="19">
        <f>'Tiktok Raw Data'!D328</f>
        <v>1007</v>
      </c>
      <c r="I328" s="17">
        <f t="shared" si="5"/>
        <v>0.01064859632</v>
      </c>
      <c r="J328" s="20">
        <f>'Tiktok Raw Data'!E328</f>
        <v>11</v>
      </c>
      <c r="K328" s="19">
        <f t="shared" si="6"/>
        <v>210</v>
      </c>
      <c r="L328" s="19">
        <f>'Tiktok Raw Data'!F328</f>
        <v>2310</v>
      </c>
    </row>
    <row r="329">
      <c r="A329" s="11">
        <f>'Tiktok Raw Data'!A329</f>
        <v>45985</v>
      </c>
      <c r="B329" s="14">
        <f t="shared" si="1"/>
        <v>11</v>
      </c>
      <c r="C329" s="12">
        <f>'Tiktok Raw Data'!B329</f>
        <v>62015</v>
      </c>
      <c r="D329" s="17">
        <f t="shared" si="2"/>
        <v>0.01644763364</v>
      </c>
      <c r="E329" s="12">
        <f>'Tiktok Raw Data'!C329</f>
        <v>1020</v>
      </c>
      <c r="F329" s="19">
        <f t="shared" si="3"/>
        <v>0.8676470588</v>
      </c>
      <c r="G329" s="19">
        <f t="shared" si="4"/>
        <v>14.27074095</v>
      </c>
      <c r="H329" s="19">
        <f>'Tiktok Raw Data'!D329</f>
        <v>885</v>
      </c>
      <c r="I329" s="17">
        <f t="shared" si="5"/>
        <v>0.01176470588</v>
      </c>
      <c r="J329" s="20">
        <f>'Tiktok Raw Data'!E329</f>
        <v>12</v>
      </c>
      <c r="K329" s="19">
        <f t="shared" si="6"/>
        <v>159.25</v>
      </c>
      <c r="L329" s="19">
        <f>'Tiktok Raw Data'!F329</f>
        <v>1911</v>
      </c>
    </row>
    <row r="330">
      <c r="A330" s="11">
        <f>'Tiktok Raw Data'!A330</f>
        <v>45986</v>
      </c>
      <c r="B330" s="14">
        <f t="shared" si="1"/>
        <v>11</v>
      </c>
      <c r="C330" s="12">
        <f>'Tiktok Raw Data'!B330</f>
        <v>26230</v>
      </c>
      <c r="D330" s="17">
        <f t="shared" si="2"/>
        <v>0.01128478841</v>
      </c>
      <c r="E330" s="12">
        <f>'Tiktok Raw Data'!C330</f>
        <v>296</v>
      </c>
      <c r="F330" s="19">
        <f t="shared" si="3"/>
        <v>0.9358108108</v>
      </c>
      <c r="G330" s="19">
        <f t="shared" si="4"/>
        <v>10.56042699</v>
      </c>
      <c r="H330" s="19">
        <f>'Tiktok Raw Data'!D330</f>
        <v>277</v>
      </c>
      <c r="I330" s="17">
        <f t="shared" si="5"/>
        <v>0.01013513514</v>
      </c>
      <c r="J330" s="20">
        <f>'Tiktok Raw Data'!E330</f>
        <v>3</v>
      </c>
      <c r="K330" s="19">
        <f t="shared" si="6"/>
        <v>233.3333333</v>
      </c>
      <c r="L330" s="19">
        <f>'Tiktok Raw Data'!F330</f>
        <v>700</v>
      </c>
    </row>
    <row r="331">
      <c r="A331" s="11">
        <f>'Tiktok Raw Data'!A331</f>
        <v>45987</v>
      </c>
      <c r="B331" s="14">
        <f t="shared" si="1"/>
        <v>11</v>
      </c>
      <c r="C331" s="12">
        <f>'Tiktok Raw Data'!B331</f>
        <v>28554</v>
      </c>
      <c r="D331" s="17">
        <f t="shared" si="2"/>
        <v>0.008124956223</v>
      </c>
      <c r="E331" s="12">
        <f>'Tiktok Raw Data'!C331</f>
        <v>232</v>
      </c>
      <c r="F331" s="19">
        <f t="shared" si="3"/>
        <v>1.030172414</v>
      </c>
      <c r="G331" s="19">
        <f t="shared" si="4"/>
        <v>8.370105765</v>
      </c>
      <c r="H331" s="19">
        <f>'Tiktok Raw Data'!D331</f>
        <v>239</v>
      </c>
      <c r="I331" s="17">
        <f t="shared" si="5"/>
        <v>0.01293103448</v>
      </c>
      <c r="J331" s="20">
        <f>'Tiktok Raw Data'!E331</f>
        <v>3</v>
      </c>
      <c r="K331" s="19">
        <f t="shared" si="6"/>
        <v>182.6666667</v>
      </c>
      <c r="L331" s="19">
        <f>'Tiktok Raw Data'!F331</f>
        <v>548</v>
      </c>
    </row>
    <row r="332">
      <c r="A332" s="11">
        <f>'Tiktok Raw Data'!A332</f>
        <v>45988</v>
      </c>
      <c r="B332" s="14">
        <f t="shared" si="1"/>
        <v>11</v>
      </c>
      <c r="C332" s="12">
        <f>'Tiktok Raw Data'!B332</f>
        <v>22922</v>
      </c>
      <c r="D332" s="17">
        <f t="shared" si="2"/>
        <v>0.01409126603</v>
      </c>
      <c r="E332" s="12">
        <f>'Tiktok Raw Data'!C332</f>
        <v>323</v>
      </c>
      <c r="F332" s="19">
        <f t="shared" si="3"/>
        <v>1.018575851</v>
      </c>
      <c r="G332" s="19">
        <f t="shared" si="4"/>
        <v>14.3530233</v>
      </c>
      <c r="H332" s="19">
        <f>'Tiktok Raw Data'!D332</f>
        <v>329</v>
      </c>
      <c r="I332" s="17">
        <f t="shared" si="5"/>
        <v>0.009287925697</v>
      </c>
      <c r="J332" s="20">
        <f>'Tiktok Raw Data'!E332</f>
        <v>3</v>
      </c>
      <c r="K332" s="19">
        <f t="shared" si="6"/>
        <v>242.3333333</v>
      </c>
      <c r="L332" s="19">
        <f>'Tiktok Raw Data'!F332</f>
        <v>727</v>
      </c>
    </row>
    <row r="333">
      <c r="A333" s="11">
        <f>'Tiktok Raw Data'!A333</f>
        <v>45989</v>
      </c>
      <c r="B333" s="14">
        <f t="shared" si="1"/>
        <v>11</v>
      </c>
      <c r="C333" s="12">
        <f>'Tiktok Raw Data'!B333</f>
        <v>96010</v>
      </c>
      <c r="D333" s="17">
        <f t="shared" si="2"/>
        <v>0.02605978544</v>
      </c>
      <c r="E333" s="12">
        <f>'Tiktok Raw Data'!C333</f>
        <v>2502</v>
      </c>
      <c r="F333" s="19">
        <f t="shared" si="3"/>
        <v>1.070743405</v>
      </c>
      <c r="G333" s="19">
        <f t="shared" si="4"/>
        <v>27.9033434</v>
      </c>
      <c r="H333" s="19">
        <f>'Tiktok Raw Data'!D333</f>
        <v>2679</v>
      </c>
      <c r="I333" s="17">
        <f t="shared" si="5"/>
        <v>0.01199040767</v>
      </c>
      <c r="J333" s="20">
        <f>'Tiktok Raw Data'!E333</f>
        <v>30</v>
      </c>
      <c r="K333" s="19">
        <f t="shared" si="6"/>
        <v>114</v>
      </c>
      <c r="L333" s="19">
        <f>'Tiktok Raw Data'!F333</f>
        <v>3420</v>
      </c>
    </row>
    <row r="334">
      <c r="A334" s="11">
        <f>'Tiktok Raw Data'!A334</f>
        <v>45990</v>
      </c>
      <c r="B334" s="14">
        <f t="shared" si="1"/>
        <v>11</v>
      </c>
      <c r="C334" s="12">
        <f>'Tiktok Raw Data'!B334</f>
        <v>38758</v>
      </c>
      <c r="D334" s="17">
        <f t="shared" si="2"/>
        <v>0.02198255844</v>
      </c>
      <c r="E334" s="12">
        <f>'Tiktok Raw Data'!C334</f>
        <v>852</v>
      </c>
      <c r="F334" s="19">
        <f t="shared" si="3"/>
        <v>1.049295775</v>
      </c>
      <c r="G334" s="19">
        <f t="shared" si="4"/>
        <v>23.06620569</v>
      </c>
      <c r="H334" s="19">
        <f>'Tiktok Raw Data'!D334</f>
        <v>894</v>
      </c>
      <c r="I334" s="17">
        <f t="shared" si="5"/>
        <v>0.01408450704</v>
      </c>
      <c r="J334" s="20">
        <f>'Tiktok Raw Data'!E334</f>
        <v>12</v>
      </c>
      <c r="K334" s="19">
        <f t="shared" si="6"/>
        <v>206.5833333</v>
      </c>
      <c r="L334" s="19">
        <f>'Tiktok Raw Data'!F334</f>
        <v>2479</v>
      </c>
    </row>
    <row r="335">
      <c r="A335" s="11">
        <f>'Tiktok Raw Data'!A335</f>
        <v>45991</v>
      </c>
      <c r="B335" s="14">
        <f t="shared" si="1"/>
        <v>11</v>
      </c>
      <c r="C335" s="12">
        <f>'Tiktok Raw Data'!B335</f>
        <v>45666</v>
      </c>
      <c r="D335" s="17">
        <f t="shared" si="2"/>
        <v>0.0272412736</v>
      </c>
      <c r="E335" s="12">
        <f>'Tiktok Raw Data'!C335</f>
        <v>1244</v>
      </c>
      <c r="F335" s="19">
        <f t="shared" si="3"/>
        <v>0.9541800643</v>
      </c>
      <c r="G335" s="19">
        <f t="shared" si="4"/>
        <v>25.99308019</v>
      </c>
      <c r="H335" s="19">
        <f>'Tiktok Raw Data'!D335</f>
        <v>1187</v>
      </c>
      <c r="I335" s="17">
        <f t="shared" si="5"/>
        <v>0.01607717042</v>
      </c>
      <c r="J335" s="20">
        <f>'Tiktok Raw Data'!E335</f>
        <v>20</v>
      </c>
      <c r="K335" s="19">
        <f t="shared" si="6"/>
        <v>195.15</v>
      </c>
      <c r="L335" s="19">
        <f>'Tiktok Raw Data'!F335</f>
        <v>3903</v>
      </c>
    </row>
    <row r="336">
      <c r="A336" s="11">
        <f>'Tiktok Raw Data'!A336</f>
        <v>45992</v>
      </c>
      <c r="B336" s="14">
        <f t="shared" si="1"/>
        <v>12</v>
      </c>
      <c r="C336" s="12">
        <f>'Tiktok Raw Data'!B336</f>
        <v>75919</v>
      </c>
      <c r="D336" s="17">
        <f t="shared" si="2"/>
        <v>0.02763471595</v>
      </c>
      <c r="E336" s="12">
        <f>'Tiktok Raw Data'!C336</f>
        <v>2098</v>
      </c>
      <c r="F336" s="19">
        <f t="shared" si="3"/>
        <v>1.152526215</v>
      </c>
      <c r="G336" s="19">
        <f t="shared" si="4"/>
        <v>31.84973459</v>
      </c>
      <c r="H336" s="19">
        <f>'Tiktok Raw Data'!D336</f>
        <v>2418</v>
      </c>
      <c r="I336" s="17">
        <f t="shared" si="5"/>
        <v>0.01763584366</v>
      </c>
      <c r="J336" s="20">
        <f>'Tiktok Raw Data'!E336</f>
        <v>37</v>
      </c>
      <c r="K336" s="19">
        <f t="shared" si="6"/>
        <v>154.3783784</v>
      </c>
      <c r="L336" s="19">
        <f>'Tiktok Raw Data'!F336</f>
        <v>5712</v>
      </c>
    </row>
    <row r="337">
      <c r="A337" s="11">
        <f>'Tiktok Raw Data'!A337</f>
        <v>45993</v>
      </c>
      <c r="B337" s="14">
        <f t="shared" si="1"/>
        <v>12</v>
      </c>
      <c r="C337" s="12">
        <f>'Tiktok Raw Data'!B337</f>
        <v>78510</v>
      </c>
      <c r="D337" s="17">
        <f t="shared" si="2"/>
        <v>0.02055789071</v>
      </c>
      <c r="E337" s="12">
        <f>'Tiktok Raw Data'!C337</f>
        <v>1614</v>
      </c>
      <c r="F337" s="19">
        <f t="shared" si="3"/>
        <v>1.277571252</v>
      </c>
      <c r="G337" s="19">
        <f t="shared" si="4"/>
        <v>26.26417017</v>
      </c>
      <c r="H337" s="19">
        <f>'Tiktok Raw Data'!D337</f>
        <v>2062</v>
      </c>
      <c r="I337" s="17">
        <f t="shared" si="5"/>
        <v>0.02664188352</v>
      </c>
      <c r="J337" s="20">
        <f>'Tiktok Raw Data'!E337</f>
        <v>43</v>
      </c>
      <c r="K337" s="19">
        <f t="shared" si="6"/>
        <v>161.0232558</v>
      </c>
      <c r="L337" s="19">
        <f>'Tiktok Raw Data'!F337</f>
        <v>6924</v>
      </c>
    </row>
    <row r="338">
      <c r="A338" s="11">
        <f>'Tiktok Raw Data'!A338</f>
        <v>45994</v>
      </c>
      <c r="B338" s="14">
        <f t="shared" si="1"/>
        <v>12</v>
      </c>
      <c r="C338" s="12">
        <f>'Tiktok Raw Data'!B338</f>
        <v>55276</v>
      </c>
      <c r="D338" s="17">
        <f t="shared" si="2"/>
        <v>0.01170489905</v>
      </c>
      <c r="E338" s="12">
        <f>'Tiktok Raw Data'!C338</f>
        <v>647</v>
      </c>
      <c r="F338" s="19">
        <f t="shared" si="3"/>
        <v>1.573415765</v>
      </c>
      <c r="G338" s="19">
        <f t="shared" si="4"/>
        <v>18.4166727</v>
      </c>
      <c r="H338" s="19">
        <f>'Tiktok Raw Data'!D338</f>
        <v>1018</v>
      </c>
      <c r="I338" s="17">
        <f t="shared" si="5"/>
        <v>0.02163833076</v>
      </c>
      <c r="J338" s="20">
        <f>'Tiktok Raw Data'!E338</f>
        <v>14</v>
      </c>
      <c r="K338" s="19">
        <f t="shared" si="6"/>
        <v>203.7142857</v>
      </c>
      <c r="L338" s="19">
        <f>'Tiktok Raw Data'!F338</f>
        <v>2852</v>
      </c>
    </row>
    <row r="339">
      <c r="A339" s="11">
        <f>'Tiktok Raw Data'!A339</f>
        <v>45995</v>
      </c>
      <c r="B339" s="14">
        <f t="shared" si="1"/>
        <v>12</v>
      </c>
      <c r="C339" s="12">
        <f>'Tiktok Raw Data'!B339</f>
        <v>92609</v>
      </c>
      <c r="D339" s="17">
        <f t="shared" si="2"/>
        <v>0.02621775421</v>
      </c>
      <c r="E339" s="12">
        <f>'Tiktok Raw Data'!C339</f>
        <v>2428</v>
      </c>
      <c r="F339" s="19">
        <f t="shared" si="3"/>
        <v>1.606672158</v>
      </c>
      <c r="G339" s="19">
        <f t="shared" si="4"/>
        <v>42.12333574</v>
      </c>
      <c r="H339" s="19">
        <f>'Tiktok Raw Data'!D339</f>
        <v>3901</v>
      </c>
      <c r="I339" s="17">
        <f t="shared" si="5"/>
        <v>0.03336079077</v>
      </c>
      <c r="J339" s="20">
        <f>'Tiktok Raw Data'!E339</f>
        <v>81</v>
      </c>
      <c r="K339" s="19">
        <f t="shared" si="6"/>
        <v>143.1358025</v>
      </c>
      <c r="L339" s="19">
        <f>'Tiktok Raw Data'!F339</f>
        <v>11594</v>
      </c>
    </row>
    <row r="340">
      <c r="A340" s="11">
        <f>'Tiktok Raw Data'!A340</f>
        <v>45996</v>
      </c>
      <c r="B340" s="14">
        <f t="shared" si="1"/>
        <v>12</v>
      </c>
      <c r="C340" s="12">
        <f>'Tiktok Raw Data'!B340</f>
        <v>66369</v>
      </c>
      <c r="D340" s="17">
        <f t="shared" si="2"/>
        <v>0.01107444741</v>
      </c>
      <c r="E340" s="12">
        <f>'Tiktok Raw Data'!C340</f>
        <v>735</v>
      </c>
      <c r="F340" s="19">
        <f t="shared" si="3"/>
        <v>1.353741497</v>
      </c>
      <c r="G340" s="19">
        <f t="shared" si="4"/>
        <v>14.99193901</v>
      </c>
      <c r="H340" s="19">
        <f>'Tiktok Raw Data'!D340</f>
        <v>995</v>
      </c>
      <c r="I340" s="17">
        <f t="shared" si="5"/>
        <v>0.03265306122</v>
      </c>
      <c r="J340" s="20">
        <f>'Tiktok Raw Data'!E340</f>
        <v>24</v>
      </c>
      <c r="K340" s="19">
        <f t="shared" si="6"/>
        <v>101.5</v>
      </c>
      <c r="L340" s="19">
        <f>'Tiktok Raw Data'!F340</f>
        <v>2436</v>
      </c>
    </row>
    <row r="341">
      <c r="A341" s="11">
        <f>'Tiktok Raw Data'!A341</f>
        <v>45997</v>
      </c>
      <c r="B341" s="14">
        <f t="shared" si="1"/>
        <v>12</v>
      </c>
      <c r="C341" s="12">
        <f>'Tiktok Raw Data'!B341</f>
        <v>50905</v>
      </c>
      <c r="D341" s="17">
        <f t="shared" si="2"/>
        <v>0.03105785286</v>
      </c>
      <c r="E341" s="12">
        <f>'Tiktok Raw Data'!C341</f>
        <v>1581</v>
      </c>
      <c r="F341" s="19">
        <f t="shared" si="3"/>
        <v>1.480075901</v>
      </c>
      <c r="G341" s="19">
        <f t="shared" si="4"/>
        <v>45.96797957</v>
      </c>
      <c r="H341" s="19">
        <f>'Tiktok Raw Data'!D341</f>
        <v>2340</v>
      </c>
      <c r="I341" s="17">
        <f t="shared" si="5"/>
        <v>0.01897533207</v>
      </c>
      <c r="J341" s="20">
        <f>'Tiktok Raw Data'!E341</f>
        <v>30</v>
      </c>
      <c r="K341" s="19">
        <f t="shared" si="6"/>
        <v>136.0666667</v>
      </c>
      <c r="L341" s="19">
        <f>'Tiktok Raw Data'!F341</f>
        <v>4082</v>
      </c>
    </row>
    <row r="342">
      <c r="A342" s="11">
        <f>'Tiktok Raw Data'!A342</f>
        <v>45998</v>
      </c>
      <c r="B342" s="14">
        <f t="shared" si="1"/>
        <v>12</v>
      </c>
      <c r="C342" s="12">
        <f>'Tiktok Raw Data'!B342</f>
        <v>61287</v>
      </c>
      <c r="D342" s="17">
        <f t="shared" si="2"/>
        <v>0.02148905967</v>
      </c>
      <c r="E342" s="12">
        <f>'Tiktok Raw Data'!C342</f>
        <v>1317</v>
      </c>
      <c r="F342" s="19">
        <f t="shared" si="3"/>
        <v>1.258162491</v>
      </c>
      <c r="G342" s="19">
        <f t="shared" si="4"/>
        <v>27.03672883</v>
      </c>
      <c r="H342" s="19">
        <f>'Tiktok Raw Data'!D342</f>
        <v>1657</v>
      </c>
      <c r="I342" s="17">
        <f t="shared" si="5"/>
        <v>0.02809415338</v>
      </c>
      <c r="J342" s="20">
        <f>'Tiktok Raw Data'!E342</f>
        <v>37</v>
      </c>
      <c r="K342" s="19">
        <f t="shared" si="6"/>
        <v>128.0810811</v>
      </c>
      <c r="L342" s="19">
        <f>'Tiktok Raw Data'!F342</f>
        <v>4739</v>
      </c>
    </row>
    <row r="343">
      <c r="A343" s="11">
        <f>'Tiktok Raw Data'!A343</f>
        <v>45999</v>
      </c>
      <c r="B343" s="14">
        <f t="shared" si="1"/>
        <v>12</v>
      </c>
      <c r="C343" s="12">
        <f>'Tiktok Raw Data'!B343</f>
        <v>87758</v>
      </c>
      <c r="D343" s="17">
        <f t="shared" si="2"/>
        <v>0.01860799015</v>
      </c>
      <c r="E343" s="12">
        <f>'Tiktok Raw Data'!C343</f>
        <v>1633</v>
      </c>
      <c r="F343" s="19">
        <f t="shared" si="3"/>
        <v>1.52541335</v>
      </c>
      <c r="G343" s="19">
        <f t="shared" si="4"/>
        <v>28.38487659</v>
      </c>
      <c r="H343" s="19">
        <f>'Tiktok Raw Data'!D343</f>
        <v>2491</v>
      </c>
      <c r="I343" s="17">
        <f t="shared" si="5"/>
        <v>0.02265768524</v>
      </c>
      <c r="J343" s="20">
        <f>'Tiktok Raw Data'!E343</f>
        <v>37</v>
      </c>
      <c r="K343" s="19">
        <f t="shared" si="6"/>
        <v>173.7297297</v>
      </c>
      <c r="L343" s="19">
        <f>'Tiktok Raw Data'!F343</f>
        <v>6428</v>
      </c>
    </row>
    <row r="344">
      <c r="A344" s="11">
        <f>'Tiktok Raw Data'!A344</f>
        <v>46000</v>
      </c>
      <c r="B344" s="14">
        <f t="shared" si="1"/>
        <v>12</v>
      </c>
      <c r="C344" s="12">
        <f>'Tiktok Raw Data'!B344</f>
        <v>57427</v>
      </c>
      <c r="D344" s="17">
        <f t="shared" si="2"/>
        <v>0.0286102356</v>
      </c>
      <c r="E344" s="12">
        <f>'Tiktok Raw Data'!C344</f>
        <v>1643</v>
      </c>
      <c r="F344" s="19">
        <f t="shared" si="3"/>
        <v>1.407790627</v>
      </c>
      <c r="G344" s="19">
        <f t="shared" si="4"/>
        <v>40.27722152</v>
      </c>
      <c r="H344" s="19">
        <f>'Tiktok Raw Data'!D344</f>
        <v>2313</v>
      </c>
      <c r="I344" s="17">
        <f t="shared" si="5"/>
        <v>0.02982349361</v>
      </c>
      <c r="J344" s="20">
        <f>'Tiktok Raw Data'!E344</f>
        <v>49</v>
      </c>
      <c r="K344" s="19">
        <f t="shared" si="6"/>
        <v>103.2653061</v>
      </c>
      <c r="L344" s="19">
        <f>'Tiktok Raw Data'!F344</f>
        <v>5060</v>
      </c>
    </row>
    <row r="345">
      <c r="A345" s="11">
        <f>'Tiktok Raw Data'!A345</f>
        <v>46001</v>
      </c>
      <c r="B345" s="14">
        <f t="shared" si="1"/>
        <v>12</v>
      </c>
      <c r="C345" s="12">
        <f>'Tiktok Raw Data'!B345</f>
        <v>37906</v>
      </c>
      <c r="D345" s="17">
        <f t="shared" si="2"/>
        <v>0.02173798343</v>
      </c>
      <c r="E345" s="12">
        <f>'Tiktok Raw Data'!C345</f>
        <v>824</v>
      </c>
      <c r="F345" s="19">
        <f t="shared" si="3"/>
        <v>1.567961165</v>
      </c>
      <c r="G345" s="19">
        <f t="shared" si="4"/>
        <v>34.08431383</v>
      </c>
      <c r="H345" s="19">
        <f>'Tiktok Raw Data'!D345</f>
        <v>1292</v>
      </c>
      <c r="I345" s="17">
        <f t="shared" si="5"/>
        <v>0.01699029126</v>
      </c>
      <c r="J345" s="20">
        <f>'Tiktok Raw Data'!E345</f>
        <v>14</v>
      </c>
      <c r="K345" s="19">
        <f t="shared" si="6"/>
        <v>100.0714286</v>
      </c>
      <c r="L345" s="19">
        <f>'Tiktok Raw Data'!F345</f>
        <v>1401</v>
      </c>
    </row>
    <row r="346">
      <c r="A346" s="11">
        <f>'Tiktok Raw Data'!A346</f>
        <v>46002</v>
      </c>
      <c r="B346" s="14">
        <f t="shared" si="1"/>
        <v>12</v>
      </c>
      <c r="C346" s="12">
        <f>'Tiktok Raw Data'!B346</f>
        <v>59431</v>
      </c>
      <c r="D346" s="17">
        <f t="shared" si="2"/>
        <v>0.01283841766</v>
      </c>
      <c r="E346" s="12">
        <f>'Tiktok Raw Data'!C346</f>
        <v>763</v>
      </c>
      <c r="F346" s="19">
        <f t="shared" si="3"/>
        <v>1.636959371</v>
      </c>
      <c r="G346" s="19">
        <f t="shared" si="4"/>
        <v>21.0159681</v>
      </c>
      <c r="H346" s="19">
        <f>'Tiktok Raw Data'!D346</f>
        <v>1249</v>
      </c>
      <c r="I346" s="17">
        <f t="shared" si="5"/>
        <v>0.01572739187</v>
      </c>
      <c r="J346" s="20">
        <f>'Tiktok Raw Data'!E346</f>
        <v>12</v>
      </c>
      <c r="K346" s="19">
        <f t="shared" si="6"/>
        <v>148.25</v>
      </c>
      <c r="L346" s="19">
        <f>'Tiktok Raw Data'!F346</f>
        <v>1779</v>
      </c>
    </row>
    <row r="347">
      <c r="A347" s="11">
        <f>'Tiktok Raw Data'!A347</f>
        <v>46003</v>
      </c>
      <c r="B347" s="14">
        <f t="shared" si="1"/>
        <v>12</v>
      </c>
      <c r="C347" s="12">
        <f>'Tiktok Raw Data'!B347</f>
        <v>36557</v>
      </c>
      <c r="D347" s="17">
        <f t="shared" si="2"/>
        <v>0.009464671609</v>
      </c>
      <c r="E347" s="12">
        <f>'Tiktok Raw Data'!C347</f>
        <v>346</v>
      </c>
      <c r="F347" s="19">
        <f t="shared" si="3"/>
        <v>1.473988439</v>
      </c>
      <c r="G347" s="19">
        <f t="shared" si="4"/>
        <v>13.95081653</v>
      </c>
      <c r="H347" s="19">
        <f>'Tiktok Raw Data'!D347</f>
        <v>510</v>
      </c>
      <c r="I347" s="17">
        <f t="shared" si="5"/>
        <v>0.01445086705</v>
      </c>
      <c r="J347" s="20">
        <f>'Tiktok Raw Data'!E347</f>
        <v>5</v>
      </c>
      <c r="K347" s="19">
        <f t="shared" si="6"/>
        <v>103</v>
      </c>
      <c r="L347" s="19">
        <f>'Tiktok Raw Data'!F347</f>
        <v>515</v>
      </c>
    </row>
    <row r="348">
      <c r="A348" s="11">
        <f>'Tiktok Raw Data'!A348</f>
        <v>46004</v>
      </c>
      <c r="B348" s="14">
        <f t="shared" si="1"/>
        <v>12</v>
      </c>
      <c r="C348" s="12">
        <f>'Tiktok Raw Data'!B348</f>
        <v>84272</v>
      </c>
      <c r="D348" s="17">
        <f t="shared" si="2"/>
        <v>0.02507357129</v>
      </c>
      <c r="E348" s="12">
        <f>'Tiktok Raw Data'!C348</f>
        <v>2113</v>
      </c>
      <c r="F348" s="19">
        <f t="shared" si="3"/>
        <v>1.188357785</v>
      </c>
      <c r="G348" s="19">
        <f t="shared" si="4"/>
        <v>29.79637365</v>
      </c>
      <c r="H348" s="19">
        <f>'Tiktok Raw Data'!D348</f>
        <v>2511</v>
      </c>
      <c r="I348" s="17">
        <f t="shared" si="5"/>
        <v>0.02744912447</v>
      </c>
      <c r="J348" s="20">
        <f>'Tiktok Raw Data'!E348</f>
        <v>58</v>
      </c>
      <c r="K348" s="19">
        <f t="shared" si="6"/>
        <v>102.7931034</v>
      </c>
      <c r="L348" s="19">
        <f>'Tiktok Raw Data'!F348</f>
        <v>5962</v>
      </c>
    </row>
    <row r="349">
      <c r="A349" s="11">
        <f>'Tiktok Raw Data'!A349</f>
        <v>46005</v>
      </c>
      <c r="B349" s="14">
        <f t="shared" si="1"/>
        <v>12</v>
      </c>
      <c r="C349" s="12">
        <f>'Tiktok Raw Data'!B349</f>
        <v>26243</v>
      </c>
      <c r="D349" s="17">
        <f t="shared" si="2"/>
        <v>0.0243874557</v>
      </c>
      <c r="E349" s="12">
        <f>'Tiktok Raw Data'!C349</f>
        <v>640</v>
      </c>
      <c r="F349" s="19">
        <f t="shared" si="3"/>
        <v>1.6640625</v>
      </c>
      <c r="G349" s="19">
        <f t="shared" si="4"/>
        <v>40.5822505</v>
      </c>
      <c r="H349" s="19">
        <f>'Tiktok Raw Data'!D349</f>
        <v>1065</v>
      </c>
      <c r="I349" s="17">
        <f t="shared" si="5"/>
        <v>0.0203125</v>
      </c>
      <c r="J349" s="20">
        <f>'Tiktok Raw Data'!E349</f>
        <v>13</v>
      </c>
      <c r="K349" s="19">
        <f t="shared" si="6"/>
        <v>170.5384615</v>
      </c>
      <c r="L349" s="19">
        <f>'Tiktok Raw Data'!F349</f>
        <v>2217</v>
      </c>
    </row>
    <row r="350">
      <c r="A350" s="11">
        <f>'Tiktok Raw Data'!A350</f>
        <v>46006</v>
      </c>
      <c r="B350" s="14">
        <f t="shared" si="1"/>
        <v>12</v>
      </c>
      <c r="C350" s="12">
        <f>'Tiktok Raw Data'!B350</f>
        <v>86600</v>
      </c>
      <c r="D350" s="17">
        <f t="shared" si="2"/>
        <v>0.03162817552</v>
      </c>
      <c r="E350" s="12">
        <f>'Tiktok Raw Data'!C350</f>
        <v>2739</v>
      </c>
      <c r="F350" s="19">
        <f t="shared" si="3"/>
        <v>1.384081782</v>
      </c>
      <c r="G350" s="19">
        <f t="shared" si="4"/>
        <v>43.77598152</v>
      </c>
      <c r="H350" s="19">
        <f>'Tiktok Raw Data'!D350</f>
        <v>3791</v>
      </c>
      <c r="I350" s="17">
        <f t="shared" si="5"/>
        <v>0.0288426433</v>
      </c>
      <c r="J350" s="20">
        <f>'Tiktok Raw Data'!E350</f>
        <v>79</v>
      </c>
      <c r="K350" s="19">
        <f t="shared" si="6"/>
        <v>70.84810127</v>
      </c>
      <c r="L350" s="19">
        <f>'Tiktok Raw Data'!F350</f>
        <v>5597</v>
      </c>
    </row>
    <row r="351">
      <c r="A351" s="11">
        <f>'Tiktok Raw Data'!A351</f>
        <v>46007</v>
      </c>
      <c r="B351" s="14">
        <f t="shared" si="1"/>
        <v>12</v>
      </c>
      <c r="C351" s="12">
        <f>'Tiktok Raw Data'!B351</f>
        <v>72407</v>
      </c>
      <c r="D351" s="17">
        <f t="shared" si="2"/>
        <v>0.03041142431</v>
      </c>
      <c r="E351" s="12">
        <f>'Tiktok Raw Data'!C351</f>
        <v>2202</v>
      </c>
      <c r="F351" s="19">
        <f t="shared" si="3"/>
        <v>1.115803815</v>
      </c>
      <c r="G351" s="19">
        <f t="shared" si="4"/>
        <v>33.93318326</v>
      </c>
      <c r="H351" s="19">
        <f>'Tiktok Raw Data'!D351</f>
        <v>2457</v>
      </c>
      <c r="I351" s="17">
        <f t="shared" si="5"/>
        <v>0.03315168029</v>
      </c>
      <c r="J351" s="20">
        <f>'Tiktok Raw Data'!E351</f>
        <v>73</v>
      </c>
      <c r="K351" s="19">
        <f t="shared" si="6"/>
        <v>153.5479452</v>
      </c>
      <c r="L351" s="19">
        <f>'Tiktok Raw Data'!F351</f>
        <v>11209</v>
      </c>
    </row>
    <row r="352">
      <c r="A352" s="11">
        <f>'Tiktok Raw Data'!A352</f>
        <v>46008</v>
      </c>
      <c r="B352" s="14">
        <f t="shared" si="1"/>
        <v>12</v>
      </c>
      <c r="C352" s="12">
        <f>'Tiktok Raw Data'!B352</f>
        <v>39996</v>
      </c>
      <c r="D352" s="17">
        <f t="shared" si="2"/>
        <v>0.01712671267</v>
      </c>
      <c r="E352" s="12">
        <f>'Tiktok Raw Data'!C352</f>
        <v>685</v>
      </c>
      <c r="F352" s="19">
        <f t="shared" si="3"/>
        <v>1.122627737</v>
      </c>
      <c r="G352" s="19">
        <f t="shared" si="4"/>
        <v>19.22692269</v>
      </c>
      <c r="H352" s="19">
        <f>'Tiktok Raw Data'!D352</f>
        <v>769</v>
      </c>
      <c r="I352" s="17">
        <f t="shared" si="5"/>
        <v>0.01605839416</v>
      </c>
      <c r="J352" s="20">
        <f>'Tiktok Raw Data'!E352</f>
        <v>11</v>
      </c>
      <c r="K352" s="19">
        <f t="shared" si="6"/>
        <v>161.9090909</v>
      </c>
      <c r="L352" s="19">
        <f>'Tiktok Raw Data'!F352</f>
        <v>1781</v>
      </c>
    </row>
    <row r="353">
      <c r="A353" s="11">
        <f>'Tiktok Raw Data'!A353</f>
        <v>46009</v>
      </c>
      <c r="B353" s="14">
        <f t="shared" si="1"/>
        <v>12</v>
      </c>
      <c r="C353" s="12">
        <f>'Tiktok Raw Data'!B353</f>
        <v>74822</v>
      </c>
      <c r="D353" s="17">
        <f t="shared" si="2"/>
        <v>0.02123706931</v>
      </c>
      <c r="E353" s="12">
        <f>'Tiktok Raw Data'!C353</f>
        <v>1589</v>
      </c>
      <c r="F353" s="19">
        <f t="shared" si="3"/>
        <v>1.341095028</v>
      </c>
      <c r="G353" s="19">
        <f t="shared" si="4"/>
        <v>28.48092807</v>
      </c>
      <c r="H353" s="19">
        <f>'Tiktok Raw Data'!D353</f>
        <v>2131</v>
      </c>
      <c r="I353" s="17">
        <f t="shared" si="5"/>
        <v>0.02517306482</v>
      </c>
      <c r="J353" s="20">
        <f>'Tiktok Raw Data'!E353</f>
        <v>40</v>
      </c>
      <c r="K353" s="19">
        <f t="shared" si="6"/>
        <v>146.4</v>
      </c>
      <c r="L353" s="19">
        <f>'Tiktok Raw Data'!F353</f>
        <v>5856</v>
      </c>
    </row>
    <row r="354">
      <c r="A354" s="11">
        <f>'Tiktok Raw Data'!A354</f>
        <v>46010</v>
      </c>
      <c r="B354" s="14">
        <f t="shared" si="1"/>
        <v>12</v>
      </c>
      <c r="C354" s="12">
        <f>'Tiktok Raw Data'!B354</f>
        <v>65011</v>
      </c>
      <c r="D354" s="17">
        <f t="shared" si="2"/>
        <v>0.03394810109</v>
      </c>
      <c r="E354" s="12">
        <f>'Tiktok Raw Data'!C354</f>
        <v>2207</v>
      </c>
      <c r="F354" s="19">
        <f t="shared" si="3"/>
        <v>1.556864522</v>
      </c>
      <c r="G354" s="19">
        <f t="shared" si="4"/>
        <v>52.85259418</v>
      </c>
      <c r="H354" s="19">
        <f>'Tiktok Raw Data'!D354</f>
        <v>3436</v>
      </c>
      <c r="I354" s="17">
        <f t="shared" si="5"/>
        <v>0.02220208428</v>
      </c>
      <c r="J354" s="20">
        <f>'Tiktok Raw Data'!E354</f>
        <v>49</v>
      </c>
      <c r="K354" s="19">
        <f t="shared" si="6"/>
        <v>98.14285714</v>
      </c>
      <c r="L354" s="19">
        <f>'Tiktok Raw Data'!F354</f>
        <v>4809</v>
      </c>
    </row>
    <row r="355">
      <c r="A355" s="11">
        <f>'Tiktok Raw Data'!A355</f>
        <v>46011</v>
      </c>
      <c r="B355" s="14">
        <f t="shared" si="1"/>
        <v>12</v>
      </c>
      <c r="C355" s="12">
        <f>'Tiktok Raw Data'!B355</f>
        <v>89340</v>
      </c>
      <c r="D355" s="17">
        <f t="shared" si="2"/>
        <v>0.02590105216</v>
      </c>
      <c r="E355" s="12">
        <f>'Tiktok Raw Data'!C355</f>
        <v>2314</v>
      </c>
      <c r="F355" s="19">
        <f t="shared" si="3"/>
        <v>1.234226448</v>
      </c>
      <c r="G355" s="19">
        <f t="shared" si="4"/>
        <v>31.9677636</v>
      </c>
      <c r="H355" s="19">
        <f>'Tiktok Raw Data'!D355</f>
        <v>2856</v>
      </c>
      <c r="I355" s="17">
        <f t="shared" si="5"/>
        <v>0.01815038894</v>
      </c>
      <c r="J355" s="20">
        <f>'Tiktok Raw Data'!E355</f>
        <v>42</v>
      </c>
      <c r="K355" s="19">
        <f t="shared" si="6"/>
        <v>146.2619048</v>
      </c>
      <c r="L355" s="19">
        <f>'Tiktok Raw Data'!F355</f>
        <v>6143</v>
      </c>
    </row>
    <row r="356">
      <c r="A356" s="11">
        <f>'Tiktok Raw Data'!A356</f>
        <v>46012</v>
      </c>
      <c r="B356" s="14">
        <f t="shared" si="1"/>
        <v>12</v>
      </c>
      <c r="C356" s="12">
        <f>'Tiktok Raw Data'!B356</f>
        <v>28734</v>
      </c>
      <c r="D356" s="17">
        <f t="shared" si="2"/>
        <v>0.00953574163</v>
      </c>
      <c r="E356" s="12">
        <f>'Tiktok Raw Data'!C356</f>
        <v>274</v>
      </c>
      <c r="F356" s="19">
        <f t="shared" si="3"/>
        <v>1.138686131</v>
      </c>
      <c r="G356" s="19">
        <f t="shared" si="4"/>
        <v>10.85821675</v>
      </c>
      <c r="H356" s="19">
        <f>'Tiktok Raw Data'!D356</f>
        <v>312</v>
      </c>
      <c r="I356" s="17">
        <f t="shared" si="5"/>
        <v>0.01824817518</v>
      </c>
      <c r="J356" s="20">
        <f>'Tiktok Raw Data'!E356</f>
        <v>5</v>
      </c>
      <c r="K356" s="19">
        <f t="shared" si="6"/>
        <v>155.8</v>
      </c>
      <c r="L356" s="19">
        <f>'Tiktok Raw Data'!F356</f>
        <v>779</v>
      </c>
    </row>
    <row r="357">
      <c r="A357" s="11">
        <f>'Tiktok Raw Data'!A357</f>
        <v>46013</v>
      </c>
      <c r="B357" s="14">
        <f t="shared" si="1"/>
        <v>12</v>
      </c>
      <c r="C357" s="12">
        <f>'Tiktok Raw Data'!B357</f>
        <v>58608</v>
      </c>
      <c r="D357" s="17">
        <f t="shared" si="2"/>
        <v>0.01631176631</v>
      </c>
      <c r="E357" s="12">
        <f>'Tiktok Raw Data'!C357</f>
        <v>956</v>
      </c>
      <c r="F357" s="19">
        <f t="shared" si="3"/>
        <v>1.219665272</v>
      </c>
      <c r="G357" s="19">
        <f t="shared" si="4"/>
        <v>19.89489489</v>
      </c>
      <c r="H357" s="19">
        <f>'Tiktok Raw Data'!D357</f>
        <v>1166</v>
      </c>
      <c r="I357" s="17">
        <f t="shared" si="5"/>
        <v>0.01778242678</v>
      </c>
      <c r="J357" s="20">
        <f>'Tiktok Raw Data'!E357</f>
        <v>17</v>
      </c>
      <c r="K357" s="19">
        <f t="shared" si="6"/>
        <v>102</v>
      </c>
      <c r="L357" s="19">
        <f>'Tiktok Raw Data'!F357</f>
        <v>1734</v>
      </c>
    </row>
    <row r="358">
      <c r="A358" s="11">
        <f>'Tiktok Raw Data'!A358</f>
        <v>46014</v>
      </c>
      <c r="B358" s="14">
        <f t="shared" si="1"/>
        <v>12</v>
      </c>
      <c r="C358" s="12">
        <f>'Tiktok Raw Data'!B358</f>
        <v>59262</v>
      </c>
      <c r="D358" s="17">
        <f t="shared" si="2"/>
        <v>0.0118119537</v>
      </c>
      <c r="E358" s="12">
        <f>'Tiktok Raw Data'!C358</f>
        <v>700</v>
      </c>
      <c r="F358" s="19">
        <f t="shared" si="3"/>
        <v>1.248571429</v>
      </c>
      <c r="G358" s="19">
        <f t="shared" si="4"/>
        <v>14.7480679</v>
      </c>
      <c r="H358" s="19">
        <f>'Tiktok Raw Data'!D358</f>
        <v>874</v>
      </c>
      <c r="I358" s="17">
        <f t="shared" si="5"/>
        <v>0.03</v>
      </c>
      <c r="J358" s="20">
        <f>'Tiktok Raw Data'!E358</f>
        <v>21</v>
      </c>
      <c r="K358" s="19">
        <f t="shared" si="6"/>
        <v>137.3333333</v>
      </c>
      <c r="L358" s="19">
        <f>'Tiktok Raw Data'!F358</f>
        <v>2884</v>
      </c>
    </row>
    <row r="359">
      <c r="A359" s="11">
        <f>'Tiktok Raw Data'!A359</f>
        <v>46015</v>
      </c>
      <c r="B359" s="14">
        <f t="shared" si="1"/>
        <v>12</v>
      </c>
      <c r="C359" s="12">
        <f>'Tiktok Raw Data'!B359</f>
        <v>73767</v>
      </c>
      <c r="D359" s="17">
        <f t="shared" si="2"/>
        <v>0.0238724633</v>
      </c>
      <c r="E359" s="12">
        <f>'Tiktok Raw Data'!C359</f>
        <v>1761</v>
      </c>
      <c r="F359" s="19">
        <f t="shared" si="3"/>
        <v>0.9778534923</v>
      </c>
      <c r="G359" s="19">
        <f t="shared" si="4"/>
        <v>23.34377161</v>
      </c>
      <c r="H359" s="19">
        <f>'Tiktok Raw Data'!D359</f>
        <v>1722</v>
      </c>
      <c r="I359" s="17">
        <f t="shared" si="5"/>
        <v>0.02044293015</v>
      </c>
      <c r="J359" s="20">
        <f>'Tiktok Raw Data'!E359</f>
        <v>36</v>
      </c>
      <c r="K359" s="19">
        <f t="shared" si="6"/>
        <v>113.9166667</v>
      </c>
      <c r="L359" s="19">
        <f>'Tiktok Raw Data'!F359</f>
        <v>4101</v>
      </c>
    </row>
    <row r="360">
      <c r="A360" s="11">
        <f>'Tiktok Raw Data'!A360</f>
        <v>46016</v>
      </c>
      <c r="B360" s="14">
        <f t="shared" si="1"/>
        <v>12</v>
      </c>
      <c r="C360" s="12">
        <f>'Tiktok Raw Data'!B360</f>
        <v>90803</v>
      </c>
      <c r="D360" s="17">
        <f t="shared" si="2"/>
        <v>0.01360087222</v>
      </c>
      <c r="E360" s="12">
        <f>'Tiktok Raw Data'!C360</f>
        <v>1235</v>
      </c>
      <c r="F360" s="19">
        <f t="shared" si="3"/>
        <v>0.9748987854</v>
      </c>
      <c r="G360" s="19">
        <f t="shared" si="4"/>
        <v>13.25947381</v>
      </c>
      <c r="H360" s="19">
        <f>'Tiktok Raw Data'!D360</f>
        <v>1204</v>
      </c>
      <c r="I360" s="17">
        <f t="shared" si="5"/>
        <v>0.02348178138</v>
      </c>
      <c r="J360" s="20">
        <f>'Tiktok Raw Data'!E360</f>
        <v>29</v>
      </c>
      <c r="K360" s="19">
        <f t="shared" si="6"/>
        <v>101.4827586</v>
      </c>
      <c r="L360" s="19">
        <f>'Tiktok Raw Data'!F360</f>
        <v>2943</v>
      </c>
    </row>
    <row r="361">
      <c r="A361" s="11">
        <f>'Tiktok Raw Data'!A361</f>
        <v>46017</v>
      </c>
      <c r="B361" s="14">
        <f t="shared" si="1"/>
        <v>12</v>
      </c>
      <c r="C361" s="12">
        <f>'Tiktok Raw Data'!B361</f>
        <v>35548</v>
      </c>
      <c r="D361" s="17">
        <f t="shared" si="2"/>
        <v>0.01597839541</v>
      </c>
      <c r="E361" s="12">
        <f>'Tiktok Raw Data'!C361</f>
        <v>568</v>
      </c>
      <c r="F361" s="19">
        <f t="shared" si="3"/>
        <v>1.059859155</v>
      </c>
      <c r="G361" s="19">
        <f t="shared" si="4"/>
        <v>16.93484866</v>
      </c>
      <c r="H361" s="19">
        <f>'Tiktok Raw Data'!D361</f>
        <v>602</v>
      </c>
      <c r="I361" s="17">
        <f t="shared" si="5"/>
        <v>0.01584507042</v>
      </c>
      <c r="J361" s="20">
        <f>'Tiktok Raw Data'!E361</f>
        <v>9</v>
      </c>
      <c r="K361" s="19">
        <f t="shared" si="6"/>
        <v>148.4444444</v>
      </c>
      <c r="L361" s="19">
        <f>'Tiktok Raw Data'!F361</f>
        <v>1336</v>
      </c>
    </row>
    <row r="362">
      <c r="A362" s="11">
        <f>'Tiktok Raw Data'!A362</f>
        <v>46018</v>
      </c>
      <c r="B362" s="14">
        <f t="shared" si="1"/>
        <v>12</v>
      </c>
      <c r="C362" s="12">
        <f>'Tiktok Raw Data'!B362</f>
        <v>84233</v>
      </c>
      <c r="D362" s="17">
        <f t="shared" si="2"/>
        <v>0.02577374663</v>
      </c>
      <c r="E362" s="12">
        <f>'Tiktok Raw Data'!C362</f>
        <v>2171</v>
      </c>
      <c r="F362" s="19">
        <f t="shared" si="3"/>
        <v>0.8972823584</v>
      </c>
      <c r="G362" s="19">
        <f t="shared" si="4"/>
        <v>23.12632816</v>
      </c>
      <c r="H362" s="19">
        <f>'Tiktok Raw Data'!D362</f>
        <v>1948</v>
      </c>
      <c r="I362" s="17">
        <f t="shared" si="5"/>
        <v>0.0170428374</v>
      </c>
      <c r="J362" s="20">
        <f>'Tiktok Raw Data'!E362</f>
        <v>37</v>
      </c>
      <c r="K362" s="19">
        <f t="shared" si="6"/>
        <v>123.7567568</v>
      </c>
      <c r="L362" s="19">
        <f>'Tiktok Raw Data'!F362</f>
        <v>4579</v>
      </c>
    </row>
    <row r="363">
      <c r="A363" s="11">
        <f>'Tiktok Raw Data'!A363</f>
        <v>46019</v>
      </c>
      <c r="B363" s="14">
        <f t="shared" si="1"/>
        <v>12</v>
      </c>
      <c r="C363" s="12">
        <f>'Tiktok Raw Data'!B363</f>
        <v>75236</v>
      </c>
      <c r="D363" s="17">
        <f t="shared" si="2"/>
        <v>0.02870966027</v>
      </c>
      <c r="E363" s="12">
        <f>'Tiktok Raw Data'!C363</f>
        <v>2160</v>
      </c>
      <c r="F363" s="19">
        <f t="shared" si="3"/>
        <v>1.475925926</v>
      </c>
      <c r="G363" s="19">
        <f t="shared" si="4"/>
        <v>42.37333192</v>
      </c>
      <c r="H363" s="19">
        <f>'Tiktok Raw Data'!D363</f>
        <v>3188</v>
      </c>
      <c r="I363" s="17">
        <f t="shared" si="5"/>
        <v>0.0212962963</v>
      </c>
      <c r="J363" s="20">
        <f>'Tiktok Raw Data'!E363</f>
        <v>46</v>
      </c>
      <c r="K363" s="19">
        <f t="shared" si="6"/>
        <v>125.0217391</v>
      </c>
      <c r="L363" s="19">
        <f>'Tiktok Raw Data'!F363</f>
        <v>5751</v>
      </c>
    </row>
    <row r="364">
      <c r="A364" s="11">
        <f>'Tiktok Raw Data'!A364</f>
        <v>46020</v>
      </c>
      <c r="B364" s="14">
        <f t="shared" si="1"/>
        <v>12</v>
      </c>
      <c r="C364" s="12">
        <f>'Tiktok Raw Data'!B364</f>
        <v>57807</v>
      </c>
      <c r="D364" s="17">
        <f t="shared" si="2"/>
        <v>0.0167626758</v>
      </c>
      <c r="E364" s="12">
        <f>'Tiktok Raw Data'!C364</f>
        <v>969</v>
      </c>
      <c r="F364" s="19">
        <f t="shared" si="3"/>
        <v>0.9896800826</v>
      </c>
      <c r="G364" s="19">
        <f t="shared" si="4"/>
        <v>16.58968637</v>
      </c>
      <c r="H364" s="19">
        <f>'Tiktok Raw Data'!D364</f>
        <v>959</v>
      </c>
      <c r="I364" s="17">
        <f t="shared" si="5"/>
        <v>0.01651186791</v>
      </c>
      <c r="J364" s="20">
        <f>'Tiktok Raw Data'!E364</f>
        <v>16</v>
      </c>
      <c r="K364" s="19">
        <f t="shared" si="6"/>
        <v>90.8125</v>
      </c>
      <c r="L364" s="19">
        <f>'Tiktok Raw Data'!F364</f>
        <v>1453</v>
      </c>
    </row>
    <row r="365">
      <c r="A365" s="11">
        <f>'Tiktok Raw Data'!A365</f>
        <v>46021</v>
      </c>
      <c r="B365" s="14">
        <f t="shared" si="1"/>
        <v>12</v>
      </c>
      <c r="C365" s="12">
        <f>'Tiktok Raw Data'!B365</f>
        <v>48189</v>
      </c>
      <c r="D365" s="17">
        <f t="shared" si="2"/>
        <v>0.02276453132</v>
      </c>
      <c r="E365" s="12">
        <f>'Tiktok Raw Data'!C365</f>
        <v>1097</v>
      </c>
      <c r="F365" s="19">
        <f t="shared" si="3"/>
        <v>1.241567912</v>
      </c>
      <c r="G365" s="19">
        <f t="shared" si="4"/>
        <v>28.26371164</v>
      </c>
      <c r="H365" s="19">
        <f>'Tiktok Raw Data'!D365</f>
        <v>1362</v>
      </c>
      <c r="I365" s="17">
        <f t="shared" si="5"/>
        <v>0.02187784868</v>
      </c>
      <c r="J365" s="20">
        <f>'Tiktok Raw Data'!E365</f>
        <v>24</v>
      </c>
      <c r="K365" s="19">
        <f t="shared" si="6"/>
        <v>175.375</v>
      </c>
      <c r="L365" s="19">
        <f>'Tiktok Raw Data'!F365</f>
        <v>4209</v>
      </c>
    </row>
    <row r="366">
      <c r="A366" s="11">
        <f>'Tiktok Raw Data'!A366</f>
        <v>46022</v>
      </c>
      <c r="B366" s="14">
        <f t="shared" si="1"/>
        <v>12</v>
      </c>
      <c r="C366" s="12">
        <f>'Tiktok Raw Data'!B366</f>
        <v>79467</v>
      </c>
      <c r="D366" s="17">
        <f t="shared" si="2"/>
        <v>0.02519284735</v>
      </c>
      <c r="E366" s="12">
        <f>'Tiktok Raw Data'!C366</f>
        <v>2002</v>
      </c>
      <c r="F366" s="19">
        <f t="shared" si="3"/>
        <v>1.03046953</v>
      </c>
      <c r="G366" s="19">
        <f t="shared" si="4"/>
        <v>25.96046158</v>
      </c>
      <c r="H366" s="19">
        <f>'Tiktok Raw Data'!D366</f>
        <v>2063</v>
      </c>
      <c r="I366" s="17">
        <f t="shared" si="5"/>
        <v>0.02297702298</v>
      </c>
      <c r="J366" s="20">
        <f>'Tiktok Raw Data'!E366</f>
        <v>46</v>
      </c>
      <c r="K366" s="19">
        <f t="shared" si="6"/>
        <v>130.2826087</v>
      </c>
      <c r="L366" s="19">
        <f>'Tiktok Raw Data'!F366</f>
        <v>5993</v>
      </c>
    </row>
    <row r="367">
      <c r="A367" s="11"/>
      <c r="D367" s="17"/>
      <c r="I367" s="17"/>
      <c r="J367" s="20"/>
    </row>
    <row r="368">
      <c r="A368" s="11"/>
      <c r="D368" s="17"/>
      <c r="I368" s="17"/>
      <c r="J368" s="20"/>
    </row>
    <row r="369">
      <c r="A369" s="11"/>
      <c r="B369" s="17"/>
      <c r="D369" s="17"/>
      <c r="I369" s="17"/>
      <c r="J369" s="20"/>
    </row>
    <row r="370">
      <c r="A370" s="11"/>
      <c r="B370" s="17"/>
      <c r="D370" s="17"/>
      <c r="I370" s="17"/>
      <c r="J370" s="20"/>
    </row>
    <row r="371">
      <c r="A371" s="11"/>
      <c r="B371" s="17"/>
      <c r="D371" s="17"/>
      <c r="I371" s="17"/>
      <c r="J371" s="20"/>
    </row>
    <row r="372">
      <c r="A372" s="11"/>
      <c r="B372" s="17"/>
      <c r="D372" s="17"/>
      <c r="I372" s="17"/>
      <c r="J372" s="20"/>
    </row>
    <row r="373">
      <c r="A373" s="11"/>
      <c r="B373" s="17"/>
      <c r="D373" s="17"/>
      <c r="I373" s="17"/>
      <c r="J373" s="20"/>
    </row>
    <row r="374">
      <c r="A374" s="11"/>
      <c r="B374" s="17"/>
      <c r="D374" s="17"/>
      <c r="I374" s="17"/>
      <c r="J374" s="20"/>
    </row>
    <row r="375">
      <c r="A375" s="11"/>
      <c r="B375" s="17"/>
      <c r="D375" s="17"/>
      <c r="I375" s="17"/>
      <c r="J375" s="20"/>
    </row>
    <row r="376">
      <c r="A376" s="11"/>
      <c r="B376" s="17"/>
      <c r="D376" s="17"/>
      <c r="I376" s="17"/>
      <c r="J376" s="20"/>
    </row>
    <row r="377">
      <c r="A377" s="11"/>
      <c r="B377" s="17"/>
      <c r="D377" s="17"/>
      <c r="I377" s="17"/>
      <c r="J377" s="20"/>
    </row>
    <row r="378">
      <c r="A378" s="11"/>
      <c r="B378" s="17"/>
      <c r="D378" s="17"/>
      <c r="I378" s="17"/>
      <c r="J378" s="20"/>
    </row>
    <row r="379">
      <c r="A379" s="11"/>
      <c r="B379" s="17"/>
      <c r="D379" s="17"/>
      <c r="I379" s="17"/>
      <c r="J379" s="20"/>
    </row>
    <row r="380">
      <c r="A380" s="11"/>
      <c r="B380" s="17"/>
      <c r="D380" s="17"/>
      <c r="I380" s="17"/>
      <c r="J380" s="20"/>
    </row>
    <row r="381">
      <c r="A381" s="11"/>
      <c r="B381" s="17"/>
      <c r="D381" s="17"/>
      <c r="I381" s="17"/>
      <c r="J381" s="20"/>
    </row>
    <row r="382">
      <c r="A382" s="11"/>
      <c r="B382" s="17"/>
      <c r="D382" s="17"/>
      <c r="I382" s="17"/>
      <c r="J382" s="20"/>
    </row>
    <row r="383">
      <c r="A383" s="11"/>
      <c r="B383" s="17"/>
      <c r="D383" s="17"/>
      <c r="I383" s="17"/>
      <c r="J383" s="20"/>
    </row>
    <row r="384">
      <c r="A384" s="11"/>
      <c r="B384" s="17"/>
      <c r="D384" s="17"/>
      <c r="I384" s="17"/>
      <c r="J384" s="20"/>
    </row>
    <row r="385">
      <c r="A385" s="11"/>
      <c r="B385" s="17"/>
      <c r="D385" s="17"/>
      <c r="I385" s="17"/>
      <c r="J385" s="20"/>
    </row>
    <row r="386">
      <c r="A386" s="11"/>
      <c r="B386" s="17"/>
      <c r="D386" s="17"/>
      <c r="I386" s="17"/>
      <c r="J386" s="20"/>
    </row>
    <row r="387">
      <c r="A387" s="11"/>
      <c r="B387" s="17"/>
      <c r="D387" s="17"/>
      <c r="I387" s="17"/>
      <c r="J387" s="20"/>
    </row>
    <row r="388">
      <c r="A388" s="11"/>
      <c r="B388" s="17"/>
      <c r="D388" s="17"/>
      <c r="I388" s="17"/>
      <c r="J388" s="20"/>
    </row>
    <row r="389">
      <c r="A389" s="11"/>
      <c r="B389" s="17"/>
      <c r="D389" s="17"/>
      <c r="I389" s="17"/>
      <c r="J389" s="20"/>
    </row>
    <row r="390">
      <c r="A390" s="11"/>
      <c r="B390" s="17"/>
      <c r="D390" s="17"/>
      <c r="I390" s="17"/>
      <c r="J390" s="20"/>
    </row>
    <row r="391">
      <c r="A391" s="11"/>
      <c r="B391" s="17"/>
      <c r="D391" s="17"/>
      <c r="I391" s="17"/>
      <c r="J391" s="20"/>
    </row>
    <row r="392">
      <c r="A392" s="11"/>
      <c r="B392" s="17"/>
      <c r="D392" s="17"/>
      <c r="I392" s="17"/>
      <c r="J392" s="20"/>
    </row>
    <row r="393">
      <c r="A393" s="11"/>
      <c r="B393" s="17"/>
      <c r="D393" s="17"/>
      <c r="I393" s="17"/>
      <c r="J393" s="20"/>
    </row>
    <row r="394">
      <c r="A394" s="11"/>
      <c r="B394" s="17"/>
      <c r="D394" s="17"/>
      <c r="I394" s="17"/>
      <c r="J394" s="20"/>
    </row>
    <row r="395">
      <c r="A395" s="11"/>
      <c r="B395" s="17"/>
      <c r="D395" s="17"/>
      <c r="I395" s="17"/>
      <c r="J395" s="20"/>
    </row>
    <row r="396">
      <c r="A396" s="11"/>
      <c r="B396" s="17"/>
      <c r="D396" s="17"/>
      <c r="I396" s="17"/>
      <c r="J396" s="20"/>
    </row>
    <row r="397">
      <c r="A397" s="11"/>
      <c r="B397" s="17"/>
      <c r="D397" s="17"/>
      <c r="I397" s="17"/>
      <c r="J397" s="20"/>
    </row>
    <row r="398">
      <c r="A398" s="11"/>
      <c r="B398" s="17"/>
      <c r="D398" s="17"/>
      <c r="I398" s="17"/>
      <c r="J398" s="20"/>
    </row>
    <row r="399">
      <c r="A399" s="11"/>
      <c r="B399" s="17"/>
      <c r="D399" s="17"/>
      <c r="I399" s="17"/>
      <c r="J399" s="20"/>
    </row>
    <row r="400">
      <c r="A400" s="11"/>
      <c r="B400" s="17"/>
      <c r="D400" s="17"/>
      <c r="I400" s="17"/>
      <c r="J400" s="20"/>
    </row>
    <row r="401">
      <c r="A401" s="11"/>
      <c r="B401" s="17"/>
      <c r="D401" s="17"/>
      <c r="I401" s="17"/>
      <c r="J401" s="20"/>
    </row>
    <row r="402">
      <c r="A402" s="11"/>
      <c r="B402" s="17"/>
      <c r="D402" s="17"/>
      <c r="I402" s="17"/>
      <c r="J402" s="20"/>
    </row>
    <row r="403">
      <c r="A403" s="11"/>
      <c r="B403" s="17"/>
      <c r="D403" s="17"/>
      <c r="I403" s="17"/>
      <c r="J403" s="20"/>
    </row>
    <row r="404">
      <c r="A404" s="11"/>
      <c r="B404" s="17"/>
      <c r="D404" s="17"/>
      <c r="I404" s="17"/>
      <c r="J404" s="20"/>
    </row>
    <row r="405">
      <c r="A405" s="11"/>
      <c r="B405" s="17"/>
      <c r="D405" s="17"/>
      <c r="I405" s="17"/>
      <c r="J405" s="20"/>
    </row>
    <row r="406">
      <c r="A406" s="11"/>
      <c r="B406" s="17"/>
      <c r="D406" s="17"/>
      <c r="I406" s="17"/>
      <c r="J406" s="20"/>
    </row>
    <row r="407">
      <c r="A407" s="11"/>
      <c r="B407" s="17"/>
      <c r="D407" s="17"/>
      <c r="I407" s="17"/>
      <c r="J407" s="20"/>
    </row>
    <row r="408">
      <c r="A408" s="11"/>
      <c r="B408" s="17"/>
      <c r="D408" s="17"/>
      <c r="I408" s="17"/>
      <c r="J408" s="20"/>
    </row>
    <row r="409">
      <c r="A409" s="11"/>
      <c r="B409" s="17"/>
      <c r="D409" s="17"/>
      <c r="I409" s="17"/>
      <c r="J409" s="20"/>
    </row>
    <row r="410">
      <c r="A410" s="11"/>
      <c r="B410" s="17"/>
      <c r="D410" s="17"/>
      <c r="I410" s="17"/>
      <c r="J410" s="20"/>
    </row>
    <row r="411">
      <c r="A411" s="11"/>
      <c r="B411" s="17"/>
      <c r="D411" s="17"/>
      <c r="I411" s="17"/>
      <c r="J411" s="20"/>
    </row>
    <row r="412">
      <c r="A412" s="11"/>
      <c r="B412" s="17"/>
      <c r="D412" s="17"/>
      <c r="I412" s="17"/>
      <c r="J412" s="20"/>
    </row>
    <row r="413">
      <c r="A413" s="11"/>
      <c r="B413" s="17"/>
      <c r="D413" s="17"/>
      <c r="I413" s="17"/>
      <c r="J413" s="20"/>
    </row>
    <row r="414">
      <c r="A414" s="11"/>
      <c r="B414" s="17"/>
      <c r="D414" s="17"/>
      <c r="I414" s="17"/>
      <c r="J414" s="20"/>
    </row>
    <row r="415">
      <c r="A415" s="11"/>
      <c r="B415" s="17"/>
      <c r="D415" s="17"/>
      <c r="I415" s="17"/>
      <c r="J415" s="20"/>
    </row>
    <row r="416">
      <c r="A416" s="11"/>
      <c r="B416" s="17"/>
      <c r="D416" s="17"/>
      <c r="I416" s="17"/>
      <c r="J416" s="20"/>
    </row>
    <row r="417">
      <c r="A417" s="11"/>
      <c r="B417" s="17"/>
      <c r="D417" s="17"/>
      <c r="I417" s="17"/>
      <c r="J417" s="20"/>
    </row>
    <row r="418">
      <c r="A418" s="11"/>
      <c r="B418" s="17"/>
      <c r="D418" s="17"/>
      <c r="I418" s="17"/>
      <c r="J418" s="20"/>
    </row>
    <row r="419">
      <c r="A419" s="11"/>
      <c r="B419" s="17"/>
      <c r="D419" s="17"/>
      <c r="I419" s="17"/>
      <c r="J419" s="20"/>
    </row>
    <row r="420">
      <c r="A420" s="11"/>
      <c r="B420" s="17"/>
      <c r="D420" s="17"/>
      <c r="I420" s="17"/>
      <c r="J420" s="20"/>
    </row>
    <row r="421">
      <c r="A421" s="11"/>
      <c r="B421" s="17"/>
      <c r="D421" s="17"/>
      <c r="I421" s="17"/>
      <c r="J421" s="20"/>
    </row>
    <row r="422">
      <c r="A422" s="11"/>
      <c r="B422" s="17"/>
      <c r="D422" s="17"/>
      <c r="I422" s="17"/>
      <c r="J422" s="20"/>
    </row>
    <row r="423">
      <c r="A423" s="11"/>
      <c r="B423" s="17"/>
      <c r="D423" s="17"/>
      <c r="I423" s="17"/>
      <c r="J423" s="20"/>
    </row>
    <row r="424">
      <c r="A424" s="11"/>
      <c r="B424" s="17"/>
      <c r="D424" s="17"/>
      <c r="I424" s="17"/>
      <c r="J424" s="20"/>
    </row>
    <row r="425">
      <c r="A425" s="11"/>
      <c r="B425" s="17"/>
      <c r="D425" s="17"/>
      <c r="I425" s="17"/>
      <c r="J425" s="20"/>
    </row>
    <row r="426">
      <c r="A426" s="11"/>
      <c r="B426" s="17"/>
      <c r="D426" s="17"/>
      <c r="I426" s="17"/>
      <c r="J426" s="20"/>
    </row>
    <row r="427">
      <c r="A427" s="11"/>
      <c r="B427" s="17"/>
      <c r="D427" s="17"/>
      <c r="I427" s="17"/>
      <c r="J427" s="20"/>
    </row>
    <row r="428">
      <c r="A428" s="11"/>
      <c r="B428" s="17"/>
      <c r="D428" s="17"/>
      <c r="I428" s="17"/>
      <c r="J428" s="20"/>
    </row>
    <row r="429">
      <c r="A429" s="11"/>
      <c r="B429" s="17"/>
      <c r="D429" s="17"/>
      <c r="I429" s="17"/>
      <c r="J429" s="20"/>
    </row>
    <row r="430">
      <c r="A430" s="11"/>
      <c r="B430" s="17"/>
      <c r="D430" s="17"/>
      <c r="I430" s="17"/>
      <c r="J430" s="20"/>
    </row>
    <row r="431">
      <c r="A431" s="11"/>
      <c r="B431" s="17"/>
      <c r="D431" s="17"/>
      <c r="I431" s="17"/>
      <c r="J431" s="20"/>
    </row>
    <row r="432">
      <c r="A432" s="11"/>
      <c r="B432" s="17"/>
      <c r="D432" s="17"/>
      <c r="I432" s="17"/>
      <c r="J432" s="20"/>
    </row>
    <row r="433">
      <c r="A433" s="11"/>
      <c r="B433" s="17"/>
      <c r="D433" s="17"/>
      <c r="I433" s="17"/>
      <c r="J433" s="20"/>
    </row>
    <row r="434">
      <c r="A434" s="11"/>
      <c r="B434" s="17"/>
      <c r="D434" s="17"/>
      <c r="I434" s="17"/>
      <c r="J434" s="20"/>
    </row>
    <row r="435">
      <c r="A435" s="11"/>
      <c r="B435" s="17"/>
      <c r="D435" s="17"/>
      <c r="I435" s="17"/>
      <c r="J435" s="20"/>
    </row>
    <row r="436">
      <c r="A436" s="11"/>
      <c r="B436" s="17"/>
      <c r="D436" s="17"/>
      <c r="I436" s="17"/>
      <c r="J436" s="20"/>
    </row>
    <row r="437">
      <c r="A437" s="11"/>
      <c r="B437" s="17"/>
      <c r="D437" s="17"/>
      <c r="I437" s="17"/>
      <c r="J437" s="20"/>
    </row>
    <row r="438">
      <c r="A438" s="11"/>
      <c r="B438" s="17"/>
      <c r="D438" s="17"/>
      <c r="I438" s="17"/>
      <c r="J438" s="20"/>
    </row>
    <row r="439">
      <c r="A439" s="11"/>
      <c r="B439" s="17"/>
      <c r="D439" s="17"/>
      <c r="I439" s="17"/>
      <c r="J439" s="20"/>
    </row>
    <row r="440">
      <c r="A440" s="11"/>
      <c r="B440" s="17"/>
      <c r="D440" s="17"/>
      <c r="I440" s="17"/>
      <c r="J440" s="20"/>
    </row>
    <row r="441">
      <c r="A441" s="11"/>
      <c r="B441" s="17"/>
      <c r="D441" s="17"/>
      <c r="I441" s="17"/>
      <c r="J441" s="20"/>
    </row>
    <row r="442">
      <c r="A442" s="11"/>
      <c r="B442" s="17"/>
      <c r="D442" s="17"/>
      <c r="I442" s="17"/>
      <c r="J442" s="20"/>
    </row>
    <row r="443">
      <c r="A443" s="11"/>
      <c r="B443" s="17"/>
      <c r="D443" s="17"/>
      <c r="I443" s="17"/>
      <c r="J443" s="20"/>
    </row>
    <row r="444">
      <c r="A444" s="11"/>
      <c r="B444" s="17"/>
      <c r="D444" s="17"/>
      <c r="I444" s="17"/>
      <c r="J444" s="20"/>
    </row>
    <row r="445">
      <c r="A445" s="11"/>
      <c r="B445" s="17"/>
      <c r="D445" s="17"/>
      <c r="I445" s="17"/>
      <c r="J445" s="20"/>
    </row>
    <row r="446">
      <c r="A446" s="11"/>
      <c r="B446" s="17"/>
      <c r="D446" s="17"/>
      <c r="I446" s="17"/>
      <c r="J446" s="20"/>
    </row>
    <row r="447">
      <c r="A447" s="11"/>
      <c r="B447" s="17"/>
      <c r="D447" s="17"/>
      <c r="I447" s="17"/>
      <c r="J447" s="20"/>
    </row>
    <row r="448">
      <c r="A448" s="11"/>
      <c r="B448" s="17"/>
      <c r="D448" s="17"/>
      <c r="I448" s="17"/>
      <c r="J448" s="20"/>
    </row>
    <row r="449">
      <c r="A449" s="11"/>
      <c r="B449" s="17"/>
      <c r="D449" s="17"/>
      <c r="I449" s="17"/>
      <c r="J449" s="20"/>
    </row>
    <row r="450">
      <c r="A450" s="11"/>
      <c r="B450" s="17"/>
      <c r="D450" s="17"/>
      <c r="I450" s="17"/>
      <c r="J450" s="20"/>
    </row>
    <row r="451">
      <c r="A451" s="11"/>
      <c r="B451" s="17"/>
      <c r="D451" s="17"/>
      <c r="I451" s="17"/>
      <c r="J451" s="20"/>
    </row>
    <row r="452">
      <c r="A452" s="11"/>
      <c r="B452" s="17"/>
      <c r="D452" s="17"/>
      <c r="I452" s="17"/>
      <c r="J452" s="20"/>
    </row>
    <row r="453">
      <c r="A453" s="11"/>
      <c r="B453" s="17"/>
      <c r="D453" s="17"/>
      <c r="I453" s="17"/>
      <c r="J453" s="20"/>
    </row>
    <row r="454">
      <c r="A454" s="11"/>
      <c r="B454" s="17"/>
      <c r="D454" s="17"/>
      <c r="I454" s="17"/>
      <c r="J454" s="20"/>
    </row>
    <row r="455">
      <c r="A455" s="11"/>
      <c r="B455" s="17"/>
      <c r="D455" s="17"/>
      <c r="I455" s="17"/>
      <c r="J455" s="20"/>
    </row>
    <row r="456">
      <c r="A456" s="11"/>
      <c r="B456" s="17"/>
      <c r="D456" s="17"/>
      <c r="I456" s="17"/>
      <c r="J456" s="20"/>
    </row>
    <row r="457">
      <c r="A457" s="11"/>
      <c r="B457" s="17"/>
      <c r="D457" s="17"/>
      <c r="I457" s="17"/>
      <c r="J457" s="20"/>
    </row>
    <row r="458">
      <c r="A458" s="11"/>
      <c r="B458" s="17"/>
      <c r="D458" s="17"/>
      <c r="I458" s="17"/>
      <c r="J458" s="20"/>
    </row>
    <row r="459">
      <c r="A459" s="11"/>
      <c r="B459" s="17"/>
      <c r="D459" s="17"/>
      <c r="I459" s="17"/>
      <c r="J459" s="20"/>
    </row>
    <row r="460">
      <c r="A460" s="11"/>
      <c r="B460" s="17"/>
      <c r="D460" s="17"/>
      <c r="I460" s="17"/>
      <c r="J460" s="20"/>
    </row>
    <row r="461">
      <c r="A461" s="11"/>
      <c r="B461" s="17"/>
      <c r="D461" s="17"/>
      <c r="I461" s="17"/>
      <c r="J461" s="20"/>
    </row>
    <row r="462">
      <c r="A462" s="11"/>
      <c r="B462" s="17"/>
      <c r="D462" s="17"/>
      <c r="I462" s="17"/>
      <c r="J462" s="20"/>
    </row>
    <row r="463">
      <c r="A463" s="11"/>
      <c r="B463" s="17"/>
      <c r="D463" s="17"/>
      <c r="I463" s="17"/>
      <c r="J463" s="20"/>
    </row>
    <row r="464">
      <c r="A464" s="11"/>
      <c r="B464" s="17"/>
      <c r="D464" s="17"/>
      <c r="I464" s="17"/>
      <c r="J464" s="20"/>
    </row>
    <row r="465">
      <c r="A465" s="11"/>
      <c r="B465" s="17"/>
      <c r="D465" s="17"/>
      <c r="I465" s="17"/>
      <c r="J465" s="20"/>
    </row>
    <row r="466">
      <c r="A466" s="11"/>
      <c r="B466" s="17"/>
      <c r="D466" s="17"/>
      <c r="I466" s="17"/>
      <c r="J466" s="20"/>
    </row>
    <row r="467">
      <c r="A467" s="11"/>
      <c r="B467" s="17"/>
      <c r="D467" s="17"/>
      <c r="I467" s="17"/>
      <c r="J467" s="20"/>
    </row>
    <row r="468">
      <c r="A468" s="11"/>
      <c r="B468" s="17"/>
      <c r="D468" s="17"/>
      <c r="I468" s="17"/>
      <c r="J468" s="20"/>
    </row>
    <row r="469">
      <c r="A469" s="11"/>
      <c r="B469" s="17"/>
      <c r="D469" s="17"/>
      <c r="I469" s="17"/>
      <c r="J469" s="20"/>
    </row>
    <row r="470">
      <c r="A470" s="11"/>
      <c r="B470" s="17"/>
      <c r="D470" s="17"/>
      <c r="I470" s="17"/>
      <c r="J470" s="20"/>
    </row>
    <row r="471">
      <c r="A471" s="11"/>
      <c r="B471" s="17"/>
      <c r="D471" s="17"/>
      <c r="I471" s="17"/>
      <c r="J471" s="20"/>
    </row>
    <row r="472">
      <c r="A472" s="11"/>
      <c r="B472" s="17"/>
      <c r="D472" s="17"/>
      <c r="I472" s="17"/>
      <c r="J472" s="20"/>
    </row>
    <row r="473">
      <c r="A473" s="11"/>
      <c r="B473" s="17"/>
      <c r="D473" s="17"/>
      <c r="I473" s="17"/>
      <c r="J473" s="20"/>
    </row>
    <row r="474">
      <c r="A474" s="11"/>
      <c r="B474" s="17"/>
      <c r="D474" s="17"/>
      <c r="I474" s="17"/>
      <c r="J474" s="20"/>
    </row>
    <row r="475">
      <c r="A475" s="11"/>
      <c r="B475" s="17"/>
      <c r="D475" s="17"/>
      <c r="I475" s="17"/>
      <c r="J475" s="20"/>
    </row>
    <row r="476">
      <c r="A476" s="11"/>
      <c r="B476" s="17"/>
      <c r="D476" s="17"/>
      <c r="I476" s="17"/>
      <c r="J476" s="20"/>
    </row>
    <row r="477">
      <c r="A477" s="11"/>
      <c r="B477" s="17"/>
      <c r="D477" s="17"/>
      <c r="I477" s="17"/>
      <c r="J477" s="20"/>
    </row>
    <row r="478">
      <c r="A478" s="11"/>
      <c r="B478" s="17"/>
      <c r="D478" s="17"/>
      <c r="I478" s="17"/>
      <c r="J478" s="20"/>
    </row>
    <row r="479">
      <c r="A479" s="11"/>
      <c r="B479" s="17"/>
      <c r="D479" s="17"/>
      <c r="I479" s="17"/>
      <c r="J479" s="20"/>
    </row>
    <row r="480">
      <c r="A480" s="11"/>
      <c r="B480" s="17"/>
      <c r="D480" s="17"/>
      <c r="I480" s="17"/>
      <c r="J480" s="20"/>
    </row>
    <row r="481">
      <c r="A481" s="11"/>
      <c r="B481" s="17"/>
      <c r="D481" s="17"/>
      <c r="I481" s="17"/>
      <c r="J481" s="20"/>
    </row>
    <row r="482">
      <c r="A482" s="11"/>
      <c r="B482" s="17"/>
      <c r="D482" s="17"/>
      <c r="I482" s="17"/>
      <c r="J482" s="20"/>
    </row>
    <row r="483">
      <c r="A483" s="11"/>
      <c r="B483" s="17"/>
      <c r="D483" s="17"/>
      <c r="I483" s="17"/>
      <c r="J483" s="20"/>
    </row>
    <row r="484">
      <c r="A484" s="11"/>
      <c r="B484" s="17"/>
      <c r="D484" s="17"/>
      <c r="I484" s="17"/>
      <c r="J484" s="20"/>
    </row>
    <row r="485">
      <c r="A485" s="11"/>
      <c r="B485" s="17"/>
      <c r="D485" s="17"/>
      <c r="I485" s="17"/>
      <c r="J485" s="20"/>
    </row>
    <row r="486">
      <c r="A486" s="11"/>
      <c r="B486" s="17"/>
      <c r="D486" s="17"/>
      <c r="I486" s="17"/>
      <c r="J486" s="20"/>
    </row>
    <row r="487">
      <c r="A487" s="11"/>
      <c r="B487" s="17"/>
      <c r="D487" s="17"/>
      <c r="I487" s="17"/>
      <c r="J487" s="20"/>
    </row>
    <row r="488">
      <c r="A488" s="11"/>
      <c r="B488" s="17"/>
      <c r="D488" s="17"/>
      <c r="I488" s="17"/>
      <c r="J488" s="20"/>
    </row>
    <row r="489">
      <c r="A489" s="11"/>
      <c r="B489" s="17"/>
      <c r="D489" s="17"/>
      <c r="I489" s="17"/>
      <c r="J489" s="20"/>
    </row>
    <row r="490">
      <c r="A490" s="11"/>
      <c r="B490" s="17"/>
      <c r="D490" s="17"/>
      <c r="I490" s="17"/>
      <c r="J490" s="20"/>
    </row>
    <row r="491">
      <c r="A491" s="11"/>
      <c r="B491" s="17"/>
      <c r="D491" s="17"/>
      <c r="I491" s="17"/>
      <c r="J491" s="20"/>
    </row>
    <row r="492">
      <c r="A492" s="11"/>
      <c r="B492" s="17"/>
      <c r="D492" s="17"/>
      <c r="I492" s="17"/>
      <c r="J492" s="20"/>
    </row>
    <row r="493">
      <c r="A493" s="11"/>
      <c r="B493" s="17"/>
      <c r="D493" s="17"/>
      <c r="I493" s="17"/>
      <c r="J493" s="20"/>
    </row>
    <row r="494">
      <c r="A494" s="11"/>
      <c r="B494" s="17"/>
      <c r="D494" s="17"/>
      <c r="I494" s="17"/>
      <c r="J494" s="20"/>
    </row>
    <row r="495">
      <c r="A495" s="11"/>
      <c r="B495" s="17"/>
      <c r="D495" s="17"/>
      <c r="I495" s="17"/>
      <c r="J495" s="20"/>
    </row>
    <row r="496">
      <c r="A496" s="11"/>
      <c r="B496" s="17"/>
      <c r="D496" s="17"/>
      <c r="I496" s="17"/>
      <c r="J496" s="20"/>
    </row>
    <row r="497">
      <c r="A497" s="11"/>
      <c r="B497" s="17"/>
      <c r="D497" s="17"/>
      <c r="I497" s="17"/>
      <c r="J497" s="20"/>
    </row>
    <row r="498">
      <c r="A498" s="11"/>
      <c r="B498" s="17"/>
      <c r="D498" s="17"/>
      <c r="I498" s="17"/>
      <c r="J498" s="20"/>
    </row>
    <row r="499">
      <c r="A499" s="11"/>
      <c r="B499" s="17"/>
      <c r="D499" s="17"/>
      <c r="I499" s="17"/>
      <c r="J499" s="20"/>
    </row>
    <row r="500">
      <c r="A500" s="11"/>
      <c r="B500" s="17"/>
      <c r="D500" s="17"/>
      <c r="I500" s="17"/>
      <c r="J500" s="20"/>
    </row>
    <row r="501">
      <c r="A501" s="11"/>
      <c r="B501" s="17"/>
      <c r="D501" s="17"/>
      <c r="I501" s="17"/>
      <c r="J501" s="20"/>
    </row>
    <row r="502">
      <c r="A502" s="11"/>
      <c r="B502" s="17"/>
      <c r="D502" s="17"/>
      <c r="I502" s="17"/>
      <c r="J502" s="20"/>
    </row>
    <row r="503">
      <c r="A503" s="11"/>
      <c r="B503" s="17"/>
      <c r="D503" s="17"/>
      <c r="I503" s="17"/>
      <c r="J503" s="20"/>
    </row>
    <row r="504">
      <c r="A504" s="11"/>
      <c r="B504" s="17"/>
      <c r="D504" s="17"/>
      <c r="I504" s="17"/>
      <c r="J504" s="20"/>
    </row>
    <row r="505">
      <c r="A505" s="11"/>
      <c r="B505" s="17"/>
      <c r="D505" s="17"/>
      <c r="I505" s="17"/>
      <c r="J505" s="20"/>
    </row>
    <row r="506">
      <c r="A506" s="11"/>
      <c r="B506" s="17"/>
      <c r="D506" s="17"/>
      <c r="I506" s="17"/>
      <c r="J506" s="20"/>
    </row>
    <row r="507">
      <c r="A507" s="11"/>
      <c r="B507" s="17"/>
      <c r="D507" s="17"/>
      <c r="I507" s="17"/>
      <c r="J507" s="20"/>
    </row>
    <row r="508">
      <c r="A508" s="11"/>
      <c r="B508" s="17"/>
      <c r="D508" s="17"/>
      <c r="I508" s="17"/>
      <c r="J508" s="20"/>
    </row>
    <row r="509">
      <c r="A509" s="11"/>
      <c r="B509" s="17"/>
      <c r="D509" s="17"/>
      <c r="I509" s="17"/>
      <c r="J509" s="20"/>
    </row>
    <row r="510">
      <c r="A510" s="11"/>
      <c r="B510" s="17"/>
      <c r="D510" s="17"/>
      <c r="I510" s="17"/>
      <c r="J510" s="20"/>
    </row>
    <row r="511">
      <c r="A511" s="11"/>
      <c r="B511" s="17"/>
      <c r="D511" s="17"/>
      <c r="I511" s="17"/>
      <c r="J511" s="20"/>
    </row>
    <row r="512">
      <c r="A512" s="11"/>
      <c r="B512" s="17"/>
      <c r="D512" s="17"/>
      <c r="I512" s="17"/>
      <c r="J512" s="20"/>
    </row>
    <row r="513">
      <c r="A513" s="11"/>
      <c r="B513" s="17"/>
      <c r="D513" s="17"/>
      <c r="I513" s="17"/>
      <c r="J513" s="20"/>
    </row>
    <row r="514">
      <c r="A514" s="11"/>
      <c r="B514" s="17"/>
      <c r="D514" s="17"/>
      <c r="I514" s="17"/>
      <c r="J514" s="20"/>
    </row>
    <row r="515">
      <c r="A515" s="11"/>
      <c r="B515" s="17"/>
      <c r="D515" s="17"/>
      <c r="I515" s="17"/>
      <c r="J515" s="20"/>
    </row>
    <row r="516">
      <c r="A516" s="11"/>
      <c r="B516" s="17"/>
      <c r="D516" s="17"/>
      <c r="I516" s="17"/>
      <c r="J516" s="20"/>
    </row>
    <row r="517">
      <c r="A517" s="11"/>
      <c r="B517" s="17"/>
      <c r="D517" s="17"/>
      <c r="I517" s="17"/>
      <c r="J517" s="20"/>
    </row>
    <row r="518">
      <c r="A518" s="11"/>
      <c r="B518" s="17"/>
      <c r="D518" s="17"/>
      <c r="I518" s="17"/>
      <c r="J518" s="20"/>
    </row>
    <row r="519">
      <c r="A519" s="11"/>
      <c r="B519" s="17"/>
      <c r="D519" s="17"/>
      <c r="I519" s="17"/>
      <c r="J519" s="20"/>
    </row>
    <row r="520">
      <c r="A520" s="11"/>
      <c r="B520" s="17"/>
      <c r="D520" s="17"/>
      <c r="I520" s="17"/>
      <c r="J520" s="20"/>
    </row>
    <row r="521">
      <c r="A521" s="11"/>
      <c r="B521" s="17"/>
      <c r="D521" s="17"/>
      <c r="I521" s="17"/>
      <c r="J521" s="20"/>
    </row>
    <row r="522">
      <c r="A522" s="11"/>
      <c r="B522" s="17"/>
      <c r="D522" s="17"/>
      <c r="I522" s="17"/>
      <c r="J522" s="20"/>
    </row>
    <row r="523">
      <c r="A523" s="11"/>
      <c r="B523" s="17"/>
      <c r="D523" s="17"/>
      <c r="I523" s="17"/>
      <c r="J523" s="20"/>
    </row>
    <row r="524">
      <c r="A524" s="11"/>
      <c r="B524" s="17"/>
      <c r="D524" s="17"/>
      <c r="I524" s="17"/>
      <c r="J524" s="20"/>
    </row>
    <row r="525">
      <c r="A525" s="11"/>
      <c r="B525" s="17"/>
      <c r="D525" s="17"/>
      <c r="I525" s="17"/>
      <c r="J525" s="20"/>
    </row>
    <row r="526">
      <c r="A526" s="11"/>
      <c r="B526" s="17"/>
      <c r="D526" s="17"/>
      <c r="I526" s="17"/>
      <c r="J526" s="20"/>
    </row>
    <row r="527">
      <c r="A527" s="11"/>
      <c r="B527" s="17"/>
      <c r="D527" s="17"/>
      <c r="I527" s="17"/>
      <c r="J527" s="20"/>
    </row>
    <row r="528">
      <c r="A528" s="11"/>
      <c r="B528" s="17"/>
      <c r="D528" s="17"/>
      <c r="I528" s="17"/>
      <c r="J528" s="20"/>
    </row>
    <row r="529">
      <c r="A529" s="11"/>
      <c r="B529" s="17"/>
      <c r="D529" s="17"/>
      <c r="I529" s="17"/>
      <c r="J529" s="20"/>
    </row>
    <row r="530">
      <c r="A530" s="11"/>
      <c r="B530" s="17"/>
      <c r="D530" s="17"/>
      <c r="I530" s="17"/>
      <c r="J530" s="20"/>
    </row>
    <row r="531">
      <c r="A531" s="11"/>
      <c r="B531" s="17"/>
      <c r="D531" s="17"/>
      <c r="I531" s="17"/>
      <c r="J531" s="20"/>
    </row>
    <row r="532">
      <c r="A532" s="11"/>
      <c r="B532" s="17"/>
      <c r="D532" s="17"/>
      <c r="I532" s="17"/>
      <c r="J532" s="20"/>
    </row>
    <row r="533">
      <c r="A533" s="11"/>
      <c r="B533" s="17"/>
      <c r="D533" s="17"/>
      <c r="I533" s="17"/>
      <c r="J533" s="20"/>
    </row>
    <row r="534">
      <c r="A534" s="11"/>
      <c r="B534" s="17"/>
      <c r="D534" s="17"/>
      <c r="I534" s="17"/>
      <c r="J534" s="20"/>
    </row>
    <row r="535">
      <c r="A535" s="11"/>
      <c r="B535" s="17"/>
      <c r="D535" s="17"/>
      <c r="I535" s="17"/>
      <c r="J535" s="20"/>
    </row>
    <row r="536">
      <c r="A536" s="11"/>
      <c r="B536" s="17"/>
      <c r="D536" s="17"/>
      <c r="I536" s="17"/>
      <c r="J536" s="20"/>
    </row>
    <row r="537">
      <c r="A537" s="11"/>
      <c r="B537" s="17"/>
      <c r="D537" s="17"/>
      <c r="I537" s="17"/>
      <c r="J537" s="20"/>
    </row>
    <row r="538">
      <c r="A538" s="11"/>
      <c r="B538" s="17"/>
      <c r="D538" s="17"/>
      <c r="I538" s="17"/>
      <c r="J538" s="20"/>
    </row>
    <row r="539">
      <c r="A539" s="11"/>
      <c r="B539" s="17"/>
      <c r="D539" s="17"/>
      <c r="I539" s="17"/>
      <c r="J539" s="20"/>
    </row>
    <row r="540">
      <c r="A540" s="11"/>
      <c r="B540" s="17"/>
      <c r="D540" s="17"/>
      <c r="I540" s="17"/>
      <c r="J540" s="20"/>
    </row>
    <row r="541">
      <c r="A541" s="11"/>
      <c r="B541" s="17"/>
      <c r="D541" s="17"/>
      <c r="I541" s="17"/>
      <c r="J541" s="20"/>
    </row>
    <row r="542">
      <c r="A542" s="11"/>
      <c r="B542" s="17"/>
      <c r="D542" s="17"/>
      <c r="I542" s="17"/>
      <c r="J542" s="20"/>
    </row>
    <row r="543">
      <c r="A543" s="11"/>
      <c r="B543" s="17"/>
      <c r="D543" s="17"/>
      <c r="I543" s="17"/>
      <c r="J543" s="20"/>
    </row>
    <row r="544">
      <c r="A544" s="11"/>
      <c r="B544" s="17"/>
      <c r="D544" s="17"/>
      <c r="I544" s="17"/>
      <c r="J544" s="20"/>
    </row>
    <row r="545">
      <c r="A545" s="11"/>
      <c r="B545" s="17"/>
      <c r="D545" s="17"/>
      <c r="I545" s="17"/>
      <c r="J545" s="20"/>
    </row>
    <row r="546">
      <c r="A546" s="11"/>
      <c r="B546" s="17"/>
      <c r="D546" s="17"/>
      <c r="I546" s="17"/>
      <c r="J546" s="20"/>
    </row>
    <row r="547">
      <c r="A547" s="11"/>
      <c r="B547" s="17"/>
      <c r="D547" s="17"/>
      <c r="I547" s="17"/>
      <c r="J547" s="20"/>
    </row>
    <row r="548">
      <c r="A548" s="11"/>
      <c r="B548" s="17"/>
      <c r="D548" s="17"/>
      <c r="I548" s="17"/>
      <c r="J548" s="20"/>
    </row>
    <row r="549">
      <c r="A549" s="11"/>
      <c r="B549" s="17"/>
      <c r="D549" s="17"/>
      <c r="I549" s="17"/>
      <c r="J549" s="20"/>
    </row>
    <row r="550">
      <c r="A550" s="11"/>
      <c r="B550" s="17"/>
      <c r="D550" s="17"/>
      <c r="I550" s="17"/>
      <c r="J550" s="20"/>
    </row>
    <row r="551">
      <c r="A551" s="11"/>
      <c r="B551" s="17"/>
      <c r="D551" s="17"/>
      <c r="I551" s="17"/>
      <c r="J551" s="20"/>
    </row>
    <row r="552">
      <c r="A552" s="11"/>
      <c r="B552" s="17"/>
      <c r="D552" s="17"/>
      <c r="I552" s="17"/>
      <c r="J552" s="20"/>
    </row>
    <row r="553">
      <c r="A553" s="11"/>
      <c r="B553" s="17"/>
      <c r="D553" s="17"/>
      <c r="I553" s="17"/>
      <c r="J553" s="20"/>
    </row>
    <row r="554">
      <c r="A554" s="11"/>
      <c r="B554" s="17"/>
      <c r="D554" s="17"/>
      <c r="I554" s="17"/>
      <c r="J554" s="20"/>
    </row>
    <row r="555">
      <c r="A555" s="11"/>
      <c r="B555" s="17"/>
      <c r="D555" s="17"/>
      <c r="I555" s="17"/>
      <c r="J555" s="20"/>
    </row>
    <row r="556">
      <c r="A556" s="11"/>
      <c r="B556" s="17"/>
      <c r="D556" s="17"/>
      <c r="I556" s="17"/>
      <c r="J556" s="20"/>
    </row>
    <row r="557">
      <c r="A557" s="11"/>
      <c r="B557" s="17"/>
      <c r="D557" s="17"/>
      <c r="I557" s="17"/>
      <c r="J557" s="20"/>
    </row>
    <row r="558">
      <c r="A558" s="11"/>
      <c r="B558" s="17"/>
      <c r="D558" s="17"/>
      <c r="I558" s="17"/>
      <c r="J558" s="20"/>
    </row>
    <row r="559">
      <c r="A559" s="11"/>
      <c r="B559" s="17"/>
      <c r="D559" s="17"/>
      <c r="I559" s="17"/>
      <c r="J559" s="20"/>
    </row>
    <row r="560">
      <c r="A560" s="11"/>
      <c r="B560" s="17"/>
      <c r="D560" s="17"/>
      <c r="I560" s="17"/>
      <c r="J560" s="20"/>
    </row>
    <row r="561">
      <c r="A561" s="11"/>
      <c r="B561" s="17"/>
      <c r="D561" s="17"/>
      <c r="I561" s="17"/>
      <c r="J561" s="20"/>
    </row>
    <row r="562">
      <c r="A562" s="11"/>
      <c r="B562" s="17"/>
      <c r="D562" s="17"/>
      <c r="I562" s="17"/>
      <c r="J562" s="20"/>
    </row>
    <row r="563">
      <c r="A563" s="11"/>
      <c r="B563" s="17"/>
      <c r="D563" s="17"/>
      <c r="I563" s="17"/>
      <c r="J563" s="20"/>
    </row>
    <row r="564">
      <c r="A564" s="11"/>
      <c r="B564" s="17"/>
      <c r="D564" s="17"/>
      <c r="I564" s="17"/>
      <c r="J564" s="20"/>
    </row>
    <row r="565">
      <c r="A565" s="11"/>
      <c r="B565" s="17"/>
      <c r="D565" s="17"/>
      <c r="I565" s="17"/>
      <c r="J565" s="20"/>
    </row>
    <row r="566">
      <c r="A566" s="11"/>
      <c r="B566" s="17"/>
      <c r="D566" s="17"/>
      <c r="I566" s="17"/>
      <c r="J566" s="20"/>
    </row>
    <row r="567">
      <c r="A567" s="11"/>
      <c r="B567" s="17"/>
      <c r="D567" s="17"/>
      <c r="I567" s="17"/>
      <c r="J567" s="20"/>
    </row>
    <row r="568">
      <c r="A568" s="11"/>
      <c r="B568" s="17"/>
      <c r="D568" s="17"/>
      <c r="I568" s="17"/>
      <c r="J568" s="20"/>
    </row>
    <row r="569">
      <c r="A569" s="11"/>
      <c r="B569" s="17"/>
      <c r="D569" s="17"/>
      <c r="I569" s="17"/>
      <c r="J569" s="20"/>
    </row>
    <row r="570">
      <c r="A570" s="11"/>
      <c r="B570" s="17"/>
      <c r="D570" s="17"/>
      <c r="I570" s="17"/>
      <c r="J570" s="20"/>
    </row>
    <row r="571">
      <c r="A571" s="11"/>
      <c r="B571" s="17"/>
      <c r="D571" s="17"/>
      <c r="I571" s="17"/>
      <c r="J571" s="20"/>
    </row>
    <row r="572">
      <c r="A572" s="11"/>
      <c r="B572" s="17"/>
      <c r="D572" s="17"/>
      <c r="I572" s="17"/>
      <c r="J572" s="20"/>
    </row>
    <row r="573">
      <c r="A573" s="11"/>
      <c r="B573" s="17"/>
      <c r="D573" s="17"/>
      <c r="I573" s="17"/>
      <c r="J573" s="20"/>
    </row>
    <row r="574">
      <c r="A574" s="11"/>
      <c r="B574" s="17"/>
      <c r="D574" s="17"/>
      <c r="I574" s="17"/>
      <c r="J574" s="20"/>
    </row>
    <row r="575">
      <c r="A575" s="11"/>
      <c r="B575" s="17"/>
      <c r="D575" s="17"/>
      <c r="I575" s="17"/>
      <c r="J575" s="20"/>
    </row>
    <row r="576">
      <c r="A576" s="11"/>
      <c r="B576" s="17"/>
      <c r="D576" s="17"/>
      <c r="I576" s="17"/>
      <c r="J576" s="20"/>
    </row>
    <row r="577">
      <c r="A577" s="11"/>
      <c r="B577" s="17"/>
      <c r="D577" s="17"/>
      <c r="I577" s="17"/>
      <c r="J577" s="20"/>
    </row>
    <row r="578">
      <c r="A578" s="11"/>
      <c r="B578" s="17"/>
      <c r="D578" s="17"/>
      <c r="I578" s="17"/>
      <c r="J578" s="20"/>
    </row>
    <row r="579">
      <c r="A579" s="11"/>
      <c r="B579" s="17"/>
      <c r="D579" s="17"/>
      <c r="I579" s="17"/>
      <c r="J579" s="20"/>
    </row>
    <row r="580">
      <c r="A580" s="11"/>
      <c r="B580" s="17"/>
      <c r="D580" s="17"/>
      <c r="I580" s="17"/>
      <c r="J580" s="20"/>
    </row>
    <row r="581">
      <c r="A581" s="11"/>
      <c r="B581" s="17"/>
      <c r="D581" s="17"/>
      <c r="I581" s="17"/>
      <c r="J581" s="20"/>
    </row>
    <row r="582">
      <c r="A582" s="11"/>
      <c r="B582" s="17"/>
      <c r="D582" s="17"/>
      <c r="I582" s="17"/>
      <c r="J582" s="20"/>
    </row>
    <row r="583">
      <c r="A583" s="11"/>
      <c r="B583" s="17"/>
      <c r="D583" s="17"/>
      <c r="I583" s="17"/>
      <c r="J583" s="20"/>
    </row>
    <row r="584">
      <c r="A584" s="11"/>
      <c r="B584" s="17"/>
      <c r="D584" s="17"/>
      <c r="I584" s="17"/>
      <c r="J584" s="20"/>
    </row>
    <row r="585">
      <c r="A585" s="11"/>
      <c r="B585" s="17"/>
      <c r="D585" s="17"/>
      <c r="I585" s="17"/>
      <c r="J585" s="20"/>
    </row>
    <row r="586">
      <c r="A586" s="11"/>
      <c r="B586" s="17"/>
      <c r="D586" s="17"/>
      <c r="I586" s="17"/>
      <c r="J586" s="20"/>
    </row>
    <row r="587">
      <c r="A587" s="11"/>
      <c r="B587" s="17"/>
      <c r="D587" s="17"/>
      <c r="I587" s="17"/>
      <c r="J587" s="20"/>
    </row>
    <row r="588">
      <c r="A588" s="11"/>
      <c r="B588" s="17"/>
      <c r="D588" s="17"/>
      <c r="I588" s="17"/>
      <c r="J588" s="20"/>
    </row>
    <row r="589">
      <c r="A589" s="11"/>
      <c r="B589" s="17"/>
      <c r="D589" s="17"/>
      <c r="I589" s="17"/>
      <c r="J589" s="20"/>
    </row>
    <row r="590">
      <c r="A590" s="11"/>
      <c r="B590" s="17"/>
      <c r="D590" s="17"/>
      <c r="I590" s="17"/>
      <c r="J590" s="20"/>
    </row>
    <row r="591">
      <c r="A591" s="11"/>
      <c r="B591" s="17"/>
      <c r="D591" s="17"/>
      <c r="I591" s="17"/>
      <c r="J591" s="20"/>
    </row>
    <row r="592">
      <c r="A592" s="11"/>
      <c r="B592" s="17"/>
      <c r="D592" s="17"/>
      <c r="I592" s="17"/>
      <c r="J592" s="20"/>
    </row>
    <row r="593">
      <c r="A593" s="11"/>
      <c r="B593" s="17"/>
      <c r="D593" s="17"/>
      <c r="I593" s="17"/>
      <c r="J593" s="20"/>
    </row>
    <row r="594">
      <c r="A594" s="11"/>
      <c r="B594" s="17"/>
      <c r="D594" s="17"/>
      <c r="I594" s="17"/>
      <c r="J594" s="20"/>
    </row>
    <row r="595">
      <c r="A595" s="11"/>
      <c r="B595" s="17"/>
      <c r="D595" s="17"/>
      <c r="I595" s="17"/>
      <c r="J595" s="20"/>
    </row>
    <row r="596">
      <c r="A596" s="11"/>
      <c r="B596" s="17"/>
      <c r="D596" s="17"/>
      <c r="I596" s="17"/>
      <c r="J596" s="20"/>
    </row>
    <row r="597">
      <c r="A597" s="11"/>
      <c r="B597" s="17"/>
      <c r="D597" s="17"/>
      <c r="I597" s="17"/>
      <c r="J597" s="20"/>
    </row>
    <row r="598">
      <c r="A598" s="11"/>
      <c r="B598" s="17"/>
      <c r="D598" s="17"/>
      <c r="I598" s="17"/>
      <c r="J598" s="20"/>
    </row>
    <row r="599">
      <c r="A599" s="11"/>
      <c r="B599" s="17"/>
      <c r="D599" s="17"/>
      <c r="I599" s="17"/>
      <c r="J599" s="20"/>
    </row>
    <row r="600">
      <c r="A600" s="11"/>
      <c r="B600" s="17"/>
      <c r="D600" s="17"/>
      <c r="I600" s="17"/>
      <c r="J600" s="20"/>
    </row>
    <row r="601">
      <c r="A601" s="11"/>
      <c r="B601" s="17"/>
      <c r="D601" s="17"/>
      <c r="I601" s="17"/>
      <c r="J601" s="20"/>
    </row>
    <row r="602">
      <c r="A602" s="11"/>
      <c r="B602" s="17"/>
      <c r="D602" s="17"/>
      <c r="I602" s="17"/>
      <c r="J602" s="20"/>
    </row>
    <row r="603">
      <c r="A603" s="11"/>
      <c r="B603" s="17"/>
      <c r="D603" s="17"/>
      <c r="I603" s="17"/>
      <c r="J603" s="20"/>
    </row>
    <row r="604">
      <c r="A604" s="11"/>
      <c r="B604" s="17"/>
      <c r="D604" s="17"/>
      <c r="I604" s="17"/>
      <c r="J604" s="20"/>
    </row>
    <row r="605">
      <c r="A605" s="11"/>
      <c r="B605" s="17"/>
      <c r="D605" s="17"/>
      <c r="I605" s="17"/>
      <c r="J605" s="20"/>
    </row>
    <row r="606">
      <c r="A606" s="11"/>
      <c r="B606" s="17"/>
      <c r="D606" s="17"/>
      <c r="I606" s="17"/>
      <c r="J606" s="20"/>
    </row>
    <row r="607">
      <c r="A607" s="11"/>
      <c r="B607" s="17"/>
      <c r="D607" s="17"/>
      <c r="I607" s="17"/>
      <c r="J607" s="20"/>
    </row>
    <row r="608">
      <c r="A608" s="11"/>
      <c r="B608" s="17"/>
      <c r="D608" s="17"/>
      <c r="I608" s="17"/>
      <c r="J608" s="20"/>
    </row>
    <row r="609">
      <c r="A609" s="11"/>
      <c r="B609" s="17"/>
      <c r="D609" s="17"/>
      <c r="I609" s="17"/>
      <c r="J609" s="20"/>
    </row>
    <row r="610">
      <c r="A610" s="11"/>
      <c r="B610" s="17"/>
      <c r="D610" s="17"/>
      <c r="I610" s="17"/>
      <c r="J610" s="20"/>
    </row>
    <row r="611">
      <c r="A611" s="11"/>
      <c r="B611" s="17"/>
      <c r="D611" s="17"/>
      <c r="I611" s="17"/>
      <c r="J611" s="20"/>
    </row>
    <row r="612">
      <c r="A612" s="11"/>
      <c r="B612" s="17"/>
      <c r="D612" s="17"/>
      <c r="I612" s="17"/>
      <c r="J612" s="20"/>
    </row>
    <row r="613">
      <c r="A613" s="11"/>
      <c r="B613" s="17"/>
      <c r="D613" s="17"/>
      <c r="I613" s="17"/>
      <c r="J613" s="20"/>
    </row>
    <row r="614">
      <c r="A614" s="11"/>
      <c r="B614" s="17"/>
      <c r="D614" s="17"/>
      <c r="I614" s="17"/>
      <c r="J614" s="20"/>
    </row>
    <row r="615">
      <c r="A615" s="11"/>
      <c r="B615" s="17"/>
      <c r="D615" s="17"/>
      <c r="I615" s="17"/>
      <c r="J615" s="20"/>
    </row>
    <row r="616">
      <c r="A616" s="11"/>
      <c r="B616" s="17"/>
      <c r="D616" s="17"/>
      <c r="I616" s="17"/>
      <c r="J616" s="20"/>
    </row>
    <row r="617">
      <c r="A617" s="11"/>
      <c r="B617" s="17"/>
      <c r="D617" s="17"/>
      <c r="I617" s="17"/>
      <c r="J617" s="20"/>
    </row>
    <row r="618">
      <c r="A618" s="11"/>
      <c r="B618" s="17"/>
      <c r="D618" s="17"/>
      <c r="I618" s="17"/>
      <c r="J618" s="20"/>
    </row>
    <row r="619">
      <c r="A619" s="11"/>
      <c r="B619" s="17"/>
      <c r="D619" s="17"/>
      <c r="I619" s="17"/>
      <c r="J619" s="20"/>
    </row>
    <row r="620">
      <c r="A620" s="11"/>
      <c r="B620" s="17"/>
      <c r="D620" s="17"/>
      <c r="I620" s="17"/>
      <c r="J620" s="20"/>
    </row>
    <row r="621">
      <c r="A621" s="11"/>
      <c r="B621" s="17"/>
      <c r="D621" s="17"/>
      <c r="I621" s="17"/>
      <c r="J621" s="20"/>
    </row>
    <row r="622">
      <c r="A622" s="11"/>
      <c r="B622" s="17"/>
      <c r="D622" s="17"/>
      <c r="I622" s="17"/>
      <c r="J622" s="20"/>
    </row>
    <row r="623">
      <c r="A623" s="11"/>
      <c r="B623" s="17"/>
      <c r="D623" s="17"/>
      <c r="I623" s="17"/>
      <c r="J623" s="20"/>
    </row>
    <row r="624">
      <c r="A624" s="11"/>
      <c r="B624" s="17"/>
      <c r="D624" s="17"/>
      <c r="I624" s="17"/>
      <c r="J624" s="20"/>
    </row>
    <row r="625">
      <c r="A625" s="11"/>
      <c r="B625" s="17"/>
      <c r="D625" s="17"/>
      <c r="I625" s="17"/>
      <c r="J625" s="20"/>
    </row>
    <row r="626">
      <c r="A626" s="11"/>
      <c r="B626" s="17"/>
      <c r="D626" s="17"/>
      <c r="I626" s="17"/>
      <c r="J626" s="20"/>
    </row>
    <row r="627">
      <c r="A627" s="11"/>
      <c r="B627" s="17"/>
      <c r="D627" s="17"/>
      <c r="I627" s="17"/>
      <c r="J627" s="20"/>
    </row>
    <row r="628">
      <c r="A628" s="11"/>
      <c r="B628" s="17"/>
      <c r="D628" s="17"/>
      <c r="I628" s="17"/>
      <c r="J628" s="20"/>
    </row>
    <row r="629">
      <c r="A629" s="11"/>
      <c r="B629" s="17"/>
      <c r="D629" s="17"/>
      <c r="I629" s="17"/>
      <c r="J629" s="20"/>
    </row>
    <row r="630">
      <c r="A630" s="11"/>
      <c r="B630" s="17"/>
      <c r="D630" s="17"/>
      <c r="I630" s="17"/>
      <c r="J630" s="20"/>
    </row>
    <row r="631">
      <c r="A631" s="11"/>
      <c r="B631" s="17"/>
      <c r="D631" s="17"/>
      <c r="I631" s="17"/>
      <c r="J631" s="20"/>
    </row>
    <row r="632">
      <c r="A632" s="11"/>
      <c r="B632" s="17"/>
      <c r="D632" s="17"/>
      <c r="I632" s="17"/>
      <c r="J632" s="20"/>
    </row>
    <row r="633">
      <c r="A633" s="11"/>
      <c r="B633" s="17"/>
      <c r="D633" s="17"/>
      <c r="I633" s="17"/>
      <c r="J633" s="20"/>
    </row>
    <row r="634">
      <c r="A634" s="11"/>
      <c r="B634" s="17"/>
      <c r="D634" s="17"/>
      <c r="I634" s="17"/>
      <c r="J634" s="20"/>
    </row>
    <row r="635">
      <c r="A635" s="11"/>
      <c r="B635" s="17"/>
      <c r="D635" s="17"/>
      <c r="I635" s="17"/>
      <c r="J635" s="20"/>
    </row>
    <row r="636">
      <c r="A636" s="11"/>
      <c r="B636" s="17"/>
      <c r="D636" s="17"/>
      <c r="I636" s="17"/>
      <c r="J636" s="20"/>
    </row>
    <row r="637">
      <c r="A637" s="11"/>
      <c r="B637" s="17"/>
      <c r="D637" s="17"/>
      <c r="I637" s="17"/>
      <c r="J637" s="20"/>
    </row>
    <row r="638">
      <c r="A638" s="11"/>
      <c r="B638" s="17"/>
      <c r="D638" s="17"/>
      <c r="I638" s="17"/>
      <c r="J638" s="20"/>
    </row>
    <row r="639">
      <c r="A639" s="11"/>
      <c r="B639" s="17"/>
      <c r="D639" s="17"/>
      <c r="I639" s="17"/>
      <c r="J639" s="20"/>
    </row>
    <row r="640">
      <c r="A640" s="11"/>
      <c r="B640" s="17"/>
      <c r="D640" s="17"/>
      <c r="I640" s="17"/>
      <c r="J640" s="20"/>
    </row>
    <row r="641">
      <c r="A641" s="11"/>
      <c r="B641" s="17"/>
      <c r="D641" s="17"/>
      <c r="I641" s="17"/>
      <c r="J641" s="20"/>
    </row>
    <row r="642">
      <c r="A642" s="11"/>
      <c r="B642" s="17"/>
      <c r="D642" s="17"/>
      <c r="I642" s="17"/>
      <c r="J642" s="20"/>
    </row>
    <row r="643">
      <c r="A643" s="11"/>
      <c r="B643" s="17"/>
      <c r="D643" s="17"/>
      <c r="I643" s="17"/>
      <c r="J643" s="20"/>
    </row>
    <row r="644">
      <c r="A644" s="11"/>
      <c r="B644" s="17"/>
      <c r="D644" s="17"/>
      <c r="I644" s="17"/>
      <c r="J644" s="20"/>
    </row>
    <row r="645">
      <c r="A645" s="11"/>
      <c r="B645" s="17"/>
      <c r="D645" s="17"/>
      <c r="I645" s="17"/>
      <c r="J645" s="20"/>
    </row>
    <row r="646">
      <c r="A646" s="11"/>
      <c r="B646" s="17"/>
      <c r="D646" s="17"/>
      <c r="I646" s="17"/>
      <c r="J646" s="20"/>
    </row>
    <row r="647">
      <c r="A647" s="11"/>
      <c r="B647" s="17"/>
      <c r="D647" s="17"/>
      <c r="I647" s="17"/>
      <c r="J647" s="20"/>
    </row>
    <row r="648">
      <c r="A648" s="11"/>
      <c r="B648" s="17"/>
      <c r="D648" s="17"/>
      <c r="I648" s="17"/>
      <c r="J648" s="20"/>
    </row>
    <row r="649">
      <c r="A649" s="11"/>
      <c r="B649" s="17"/>
      <c r="D649" s="17"/>
      <c r="I649" s="17"/>
      <c r="J649" s="20"/>
    </row>
    <row r="650">
      <c r="A650" s="11"/>
      <c r="B650" s="17"/>
      <c r="D650" s="17"/>
      <c r="I650" s="17"/>
      <c r="J650" s="20"/>
    </row>
    <row r="651">
      <c r="A651" s="11"/>
      <c r="B651" s="17"/>
      <c r="D651" s="17"/>
      <c r="I651" s="17"/>
      <c r="J651" s="20"/>
    </row>
    <row r="652">
      <c r="A652" s="11"/>
      <c r="B652" s="17"/>
      <c r="D652" s="17"/>
      <c r="I652" s="17"/>
      <c r="J652" s="20"/>
    </row>
    <row r="653">
      <c r="A653" s="11"/>
      <c r="B653" s="17"/>
      <c r="D653" s="17"/>
      <c r="I653" s="17"/>
      <c r="J653" s="20"/>
    </row>
    <row r="654">
      <c r="A654" s="11"/>
      <c r="B654" s="17"/>
      <c r="D654" s="17"/>
      <c r="I654" s="17"/>
      <c r="J654" s="20"/>
    </row>
    <row r="655">
      <c r="A655" s="11"/>
      <c r="B655" s="17"/>
      <c r="D655" s="17"/>
      <c r="I655" s="17"/>
      <c r="J655" s="20"/>
    </row>
    <row r="656">
      <c r="A656" s="11"/>
      <c r="B656" s="17"/>
      <c r="D656" s="17"/>
      <c r="I656" s="17"/>
      <c r="J656" s="20"/>
    </row>
    <row r="657">
      <c r="A657" s="11"/>
      <c r="B657" s="17"/>
      <c r="D657" s="17"/>
      <c r="I657" s="17"/>
      <c r="J657" s="20"/>
    </row>
    <row r="658">
      <c r="A658" s="11"/>
      <c r="B658" s="17"/>
      <c r="D658" s="17"/>
      <c r="I658" s="17"/>
      <c r="J658" s="20"/>
    </row>
    <row r="659">
      <c r="A659" s="11"/>
      <c r="B659" s="17"/>
      <c r="D659" s="17"/>
      <c r="I659" s="17"/>
      <c r="J659" s="20"/>
    </row>
    <row r="660">
      <c r="A660" s="11"/>
      <c r="B660" s="17"/>
      <c r="D660" s="17"/>
      <c r="I660" s="17"/>
      <c r="J660" s="20"/>
    </row>
    <row r="661">
      <c r="A661" s="11"/>
      <c r="B661" s="17"/>
      <c r="D661" s="17"/>
      <c r="I661" s="17"/>
      <c r="J661" s="20"/>
    </row>
    <row r="662">
      <c r="A662" s="11"/>
      <c r="B662" s="17"/>
      <c r="D662" s="17"/>
      <c r="I662" s="17"/>
      <c r="J662" s="20"/>
    </row>
    <row r="663">
      <c r="A663" s="11"/>
      <c r="B663" s="17"/>
      <c r="D663" s="17"/>
      <c r="I663" s="17"/>
      <c r="J663" s="20"/>
    </row>
    <row r="664">
      <c r="A664" s="11"/>
      <c r="B664" s="17"/>
      <c r="D664" s="17"/>
      <c r="I664" s="17"/>
      <c r="J664" s="20"/>
    </row>
    <row r="665">
      <c r="A665" s="11"/>
      <c r="B665" s="17"/>
      <c r="D665" s="17"/>
      <c r="I665" s="17"/>
      <c r="J665" s="20"/>
    </row>
    <row r="666">
      <c r="A666" s="11"/>
      <c r="B666" s="17"/>
      <c r="D666" s="17"/>
      <c r="I666" s="17"/>
      <c r="J666" s="20"/>
    </row>
    <row r="667">
      <c r="A667" s="11"/>
      <c r="B667" s="17"/>
      <c r="D667" s="17"/>
      <c r="I667" s="17"/>
      <c r="J667" s="20"/>
    </row>
    <row r="668">
      <c r="A668" s="11"/>
      <c r="B668" s="17"/>
      <c r="D668" s="17"/>
      <c r="I668" s="17"/>
      <c r="J668" s="20"/>
    </row>
    <row r="669">
      <c r="A669" s="11"/>
      <c r="B669" s="17"/>
      <c r="D669" s="17"/>
      <c r="I669" s="17"/>
      <c r="J669" s="20"/>
    </row>
    <row r="670">
      <c r="A670" s="11"/>
      <c r="B670" s="17"/>
      <c r="D670" s="17"/>
      <c r="I670" s="17"/>
      <c r="J670" s="20"/>
    </row>
    <row r="671">
      <c r="A671" s="11"/>
      <c r="B671" s="17"/>
      <c r="D671" s="17"/>
      <c r="I671" s="17"/>
      <c r="J671" s="20"/>
    </row>
    <row r="672">
      <c r="A672" s="11"/>
      <c r="B672" s="17"/>
      <c r="D672" s="17"/>
      <c r="I672" s="17"/>
      <c r="J672" s="20"/>
    </row>
    <row r="673">
      <c r="A673" s="11"/>
      <c r="B673" s="17"/>
      <c r="D673" s="17"/>
      <c r="I673" s="17"/>
      <c r="J673" s="20"/>
    </row>
    <row r="674">
      <c r="A674" s="11"/>
      <c r="B674" s="17"/>
      <c r="D674" s="17"/>
      <c r="I674" s="17"/>
      <c r="J674" s="20"/>
    </row>
    <row r="675">
      <c r="A675" s="11"/>
      <c r="B675" s="17"/>
      <c r="D675" s="17"/>
      <c r="I675" s="17"/>
      <c r="J675" s="20"/>
    </row>
    <row r="676">
      <c r="A676" s="11"/>
      <c r="B676" s="17"/>
      <c r="D676" s="17"/>
      <c r="I676" s="17"/>
      <c r="J676" s="20"/>
    </row>
    <row r="677">
      <c r="A677" s="11"/>
      <c r="B677" s="17"/>
      <c r="D677" s="17"/>
      <c r="I677" s="17"/>
      <c r="J677" s="20"/>
    </row>
    <row r="678">
      <c r="A678" s="11"/>
      <c r="B678" s="17"/>
      <c r="D678" s="17"/>
      <c r="I678" s="17"/>
      <c r="J678" s="20"/>
    </row>
    <row r="679">
      <c r="A679" s="11"/>
      <c r="B679" s="17"/>
      <c r="D679" s="17"/>
      <c r="I679" s="17"/>
      <c r="J679" s="20"/>
    </row>
    <row r="680">
      <c r="A680" s="11"/>
      <c r="B680" s="17"/>
      <c r="D680" s="17"/>
      <c r="I680" s="17"/>
      <c r="J680" s="20"/>
    </row>
    <row r="681">
      <c r="A681" s="11"/>
      <c r="B681" s="17"/>
      <c r="D681" s="17"/>
      <c r="I681" s="17"/>
      <c r="J681" s="20"/>
    </row>
    <row r="682">
      <c r="A682" s="11"/>
      <c r="B682" s="17"/>
      <c r="D682" s="17"/>
      <c r="I682" s="17"/>
      <c r="J682" s="20"/>
    </row>
    <row r="683">
      <c r="A683" s="11"/>
      <c r="B683" s="17"/>
      <c r="D683" s="17"/>
      <c r="I683" s="17"/>
      <c r="J683" s="20"/>
    </row>
    <row r="684">
      <c r="A684" s="11"/>
      <c r="B684" s="17"/>
      <c r="D684" s="17"/>
      <c r="I684" s="17"/>
      <c r="J684" s="20"/>
    </row>
    <row r="685">
      <c r="A685" s="11"/>
      <c r="B685" s="17"/>
      <c r="D685" s="17"/>
      <c r="I685" s="17"/>
      <c r="J685" s="20"/>
    </row>
    <row r="686">
      <c r="A686" s="11"/>
      <c r="B686" s="17"/>
      <c r="D686" s="17"/>
      <c r="I686" s="17"/>
      <c r="J686" s="20"/>
    </row>
    <row r="687">
      <c r="A687" s="11"/>
      <c r="B687" s="17"/>
      <c r="D687" s="17"/>
      <c r="I687" s="17"/>
      <c r="J687" s="20"/>
    </row>
    <row r="688">
      <c r="A688" s="11"/>
      <c r="B688" s="17"/>
      <c r="D688" s="17"/>
      <c r="I688" s="17"/>
      <c r="J688" s="20"/>
    </row>
    <row r="689">
      <c r="A689" s="11"/>
      <c r="B689" s="17"/>
      <c r="D689" s="17"/>
      <c r="I689" s="17"/>
      <c r="J689" s="20"/>
    </row>
    <row r="690">
      <c r="A690" s="11"/>
      <c r="B690" s="17"/>
      <c r="D690" s="17"/>
      <c r="I690" s="17"/>
      <c r="J690" s="20"/>
    </row>
    <row r="691">
      <c r="A691" s="11"/>
      <c r="B691" s="17"/>
      <c r="D691" s="17"/>
      <c r="I691" s="17"/>
      <c r="J691" s="20"/>
    </row>
    <row r="692">
      <c r="A692" s="11"/>
      <c r="B692" s="17"/>
      <c r="D692" s="17"/>
      <c r="I692" s="17"/>
      <c r="J692" s="20"/>
    </row>
    <row r="693">
      <c r="A693" s="11"/>
      <c r="B693" s="17"/>
      <c r="D693" s="17"/>
      <c r="I693" s="17"/>
      <c r="J693" s="20"/>
    </row>
    <row r="694">
      <c r="A694" s="11"/>
      <c r="B694" s="17"/>
      <c r="D694" s="17"/>
      <c r="I694" s="17"/>
      <c r="J694" s="20"/>
    </row>
    <row r="695">
      <c r="A695" s="11"/>
      <c r="B695" s="17"/>
      <c r="D695" s="17"/>
      <c r="I695" s="17"/>
      <c r="J695" s="20"/>
    </row>
    <row r="696">
      <c r="A696" s="11"/>
      <c r="B696" s="17"/>
      <c r="D696" s="17"/>
      <c r="I696" s="17"/>
      <c r="J696" s="20"/>
    </row>
    <row r="697">
      <c r="A697" s="11"/>
      <c r="B697" s="17"/>
      <c r="D697" s="17"/>
      <c r="I697" s="17"/>
      <c r="J697" s="20"/>
    </row>
    <row r="698">
      <c r="A698" s="11"/>
      <c r="B698" s="17"/>
      <c r="D698" s="17"/>
      <c r="I698" s="17"/>
      <c r="J698" s="20"/>
    </row>
    <row r="699">
      <c r="A699" s="11"/>
      <c r="B699" s="17"/>
      <c r="D699" s="17"/>
      <c r="I699" s="17"/>
      <c r="J699" s="20"/>
    </row>
    <row r="700">
      <c r="A700" s="11"/>
      <c r="B700" s="17"/>
      <c r="D700" s="17"/>
      <c r="I700" s="17"/>
      <c r="J700" s="20"/>
    </row>
    <row r="701">
      <c r="A701" s="11"/>
      <c r="B701" s="17"/>
      <c r="D701" s="17"/>
      <c r="I701" s="17"/>
      <c r="J701" s="20"/>
    </row>
    <row r="702">
      <c r="A702" s="11"/>
      <c r="B702" s="17"/>
      <c r="D702" s="17"/>
      <c r="I702" s="17"/>
      <c r="J702" s="20"/>
    </row>
    <row r="703">
      <c r="A703" s="11"/>
      <c r="B703" s="17"/>
      <c r="D703" s="17"/>
      <c r="I703" s="17"/>
      <c r="J703" s="20"/>
    </row>
    <row r="704">
      <c r="A704" s="11"/>
      <c r="B704" s="17"/>
      <c r="D704" s="17"/>
      <c r="I704" s="17"/>
      <c r="J704" s="20"/>
    </row>
    <row r="705">
      <c r="A705" s="11"/>
      <c r="B705" s="17"/>
      <c r="D705" s="17"/>
      <c r="I705" s="17"/>
      <c r="J705" s="20"/>
    </row>
    <row r="706">
      <c r="A706" s="11"/>
      <c r="B706" s="17"/>
      <c r="D706" s="17"/>
      <c r="I706" s="17"/>
      <c r="J706" s="20"/>
    </row>
    <row r="707">
      <c r="A707" s="11"/>
      <c r="B707" s="17"/>
      <c r="D707" s="17"/>
      <c r="I707" s="17"/>
      <c r="J707" s="20"/>
    </row>
    <row r="708">
      <c r="A708" s="11"/>
      <c r="B708" s="17"/>
      <c r="D708" s="17"/>
      <c r="I708" s="17"/>
      <c r="J708" s="20"/>
    </row>
    <row r="709">
      <c r="A709" s="11"/>
      <c r="B709" s="17"/>
      <c r="D709" s="17"/>
      <c r="I709" s="17"/>
      <c r="J709" s="20"/>
    </row>
    <row r="710">
      <c r="A710" s="11"/>
      <c r="B710" s="17"/>
      <c r="D710" s="17"/>
      <c r="I710" s="17"/>
      <c r="J710" s="20"/>
    </row>
    <row r="711">
      <c r="A711" s="11"/>
      <c r="B711" s="17"/>
      <c r="D711" s="17"/>
      <c r="I711" s="17"/>
      <c r="J711" s="20"/>
    </row>
    <row r="712">
      <c r="A712" s="11"/>
      <c r="B712" s="17"/>
      <c r="D712" s="17"/>
      <c r="I712" s="17"/>
      <c r="J712" s="20"/>
    </row>
    <row r="713">
      <c r="A713" s="11"/>
      <c r="B713" s="17"/>
      <c r="D713" s="17"/>
      <c r="I713" s="17"/>
      <c r="J713" s="20"/>
    </row>
    <row r="714">
      <c r="A714" s="11"/>
      <c r="B714" s="17"/>
      <c r="D714" s="17"/>
      <c r="I714" s="17"/>
      <c r="J714" s="20"/>
    </row>
    <row r="715">
      <c r="A715" s="11"/>
      <c r="B715" s="17"/>
      <c r="D715" s="17"/>
      <c r="I715" s="17"/>
      <c r="J715" s="20"/>
    </row>
    <row r="716">
      <c r="A716" s="11"/>
      <c r="B716" s="17"/>
      <c r="D716" s="17"/>
      <c r="I716" s="17"/>
      <c r="J716" s="20"/>
    </row>
    <row r="717">
      <c r="A717" s="11"/>
      <c r="B717" s="17"/>
      <c r="D717" s="17"/>
      <c r="I717" s="17"/>
      <c r="J717" s="20"/>
    </row>
    <row r="718">
      <c r="A718" s="11"/>
      <c r="B718" s="17"/>
      <c r="D718" s="17"/>
      <c r="I718" s="17"/>
      <c r="J718" s="20"/>
    </row>
    <row r="719">
      <c r="A719" s="11"/>
      <c r="B719" s="17"/>
      <c r="D719" s="17"/>
      <c r="I719" s="17"/>
      <c r="J719" s="20"/>
    </row>
    <row r="720">
      <c r="A720" s="11"/>
      <c r="B720" s="17"/>
      <c r="D720" s="17"/>
      <c r="I720" s="17"/>
      <c r="J720" s="20"/>
    </row>
    <row r="721">
      <c r="A721" s="11"/>
      <c r="B721" s="17"/>
      <c r="D721" s="17"/>
      <c r="I721" s="17"/>
      <c r="J721" s="20"/>
    </row>
    <row r="722">
      <c r="A722" s="11"/>
      <c r="B722" s="17"/>
      <c r="D722" s="17"/>
      <c r="I722" s="17"/>
      <c r="J722" s="20"/>
    </row>
    <row r="723">
      <c r="A723" s="11"/>
      <c r="B723" s="17"/>
      <c r="D723" s="17"/>
      <c r="I723" s="17"/>
      <c r="J723" s="20"/>
    </row>
    <row r="724">
      <c r="A724" s="11"/>
      <c r="B724" s="17"/>
      <c r="D724" s="17"/>
      <c r="I724" s="17"/>
      <c r="J724" s="20"/>
    </row>
    <row r="725">
      <c r="A725" s="11"/>
      <c r="B725" s="17"/>
      <c r="D725" s="17"/>
      <c r="I725" s="17"/>
      <c r="J725" s="20"/>
    </row>
    <row r="726">
      <c r="A726" s="11"/>
      <c r="B726" s="17"/>
      <c r="D726" s="17"/>
      <c r="I726" s="17"/>
      <c r="J726" s="20"/>
    </row>
    <row r="727">
      <c r="A727" s="11"/>
      <c r="B727" s="17"/>
      <c r="D727" s="17"/>
      <c r="I727" s="17"/>
      <c r="J727" s="20"/>
    </row>
    <row r="728">
      <c r="A728" s="11"/>
      <c r="B728" s="17"/>
      <c r="D728" s="17"/>
      <c r="I728" s="17"/>
      <c r="J728" s="20"/>
    </row>
    <row r="729">
      <c r="A729" s="11"/>
      <c r="B729" s="17"/>
      <c r="D729" s="17"/>
      <c r="I729" s="17"/>
      <c r="J729" s="20"/>
    </row>
    <row r="730">
      <c r="A730" s="11"/>
      <c r="B730" s="17"/>
      <c r="D730" s="17"/>
      <c r="I730" s="17"/>
      <c r="J730" s="20"/>
    </row>
    <row r="731">
      <c r="A731" s="11"/>
      <c r="B731" s="17"/>
      <c r="D731" s="17"/>
      <c r="I731" s="17"/>
      <c r="J731" s="20"/>
    </row>
    <row r="732">
      <c r="A732" s="11"/>
      <c r="B732" s="17"/>
      <c r="D732" s="17"/>
      <c r="I732" s="17"/>
      <c r="J732" s="20"/>
    </row>
    <row r="733">
      <c r="A733" s="11"/>
      <c r="B733" s="17"/>
      <c r="D733" s="17"/>
      <c r="I733" s="17"/>
      <c r="J733" s="20"/>
    </row>
    <row r="734">
      <c r="A734" s="11"/>
      <c r="B734" s="17"/>
      <c r="D734" s="17"/>
      <c r="I734" s="17"/>
      <c r="J734" s="20"/>
    </row>
    <row r="735">
      <c r="A735" s="11"/>
      <c r="B735" s="17"/>
      <c r="D735" s="17"/>
      <c r="I735" s="17"/>
      <c r="J735" s="20"/>
    </row>
    <row r="736">
      <c r="A736" s="11"/>
      <c r="B736" s="17"/>
      <c r="D736" s="17"/>
      <c r="I736" s="17"/>
      <c r="J736" s="20"/>
    </row>
    <row r="737">
      <c r="A737" s="11"/>
      <c r="B737" s="17"/>
      <c r="D737" s="17"/>
      <c r="I737" s="17"/>
      <c r="J737" s="20"/>
    </row>
    <row r="738">
      <c r="A738" s="11"/>
      <c r="B738" s="17"/>
      <c r="D738" s="17"/>
      <c r="I738" s="17"/>
      <c r="J738" s="20"/>
    </row>
    <row r="739">
      <c r="A739" s="11"/>
      <c r="B739" s="17"/>
      <c r="D739" s="17"/>
      <c r="I739" s="17"/>
      <c r="J739" s="20"/>
    </row>
    <row r="740">
      <c r="A740" s="11"/>
      <c r="B740" s="17"/>
      <c r="D740" s="17"/>
      <c r="I740" s="17"/>
      <c r="J740" s="20"/>
    </row>
    <row r="741">
      <c r="A741" s="11"/>
      <c r="B741" s="17"/>
      <c r="D741" s="17"/>
      <c r="I741" s="17"/>
      <c r="J741" s="20"/>
    </row>
    <row r="742">
      <c r="A742" s="11"/>
      <c r="B742" s="17"/>
      <c r="D742" s="17"/>
      <c r="I742" s="17"/>
      <c r="J742" s="20"/>
    </row>
    <row r="743">
      <c r="A743" s="11"/>
      <c r="B743" s="17"/>
      <c r="D743" s="17"/>
      <c r="I743" s="17"/>
      <c r="J743" s="20"/>
    </row>
    <row r="744">
      <c r="A744" s="11"/>
      <c r="B744" s="17"/>
      <c r="D744" s="17"/>
      <c r="I744" s="17"/>
      <c r="J744" s="20"/>
    </row>
    <row r="745">
      <c r="A745" s="11"/>
      <c r="B745" s="17"/>
      <c r="D745" s="17"/>
      <c r="I745" s="17"/>
      <c r="J745" s="20"/>
    </row>
    <row r="746">
      <c r="A746" s="11"/>
      <c r="B746" s="17"/>
      <c r="D746" s="17"/>
      <c r="I746" s="17"/>
      <c r="J746" s="20"/>
    </row>
    <row r="747">
      <c r="A747" s="11"/>
      <c r="B747" s="17"/>
      <c r="D747" s="17"/>
      <c r="I747" s="17"/>
      <c r="J747" s="20"/>
    </row>
    <row r="748">
      <c r="A748" s="11"/>
      <c r="B748" s="17"/>
      <c r="D748" s="17"/>
      <c r="I748" s="17"/>
      <c r="J748" s="20"/>
    </row>
    <row r="749">
      <c r="A749" s="11"/>
      <c r="B749" s="17"/>
      <c r="D749" s="17"/>
      <c r="I749" s="17"/>
      <c r="J749" s="20"/>
    </row>
    <row r="750">
      <c r="A750" s="11"/>
      <c r="B750" s="17"/>
      <c r="D750" s="17"/>
      <c r="I750" s="17"/>
      <c r="J750" s="20"/>
    </row>
    <row r="751">
      <c r="A751" s="11"/>
      <c r="B751" s="17"/>
      <c r="D751" s="17"/>
      <c r="I751" s="17"/>
      <c r="J751" s="20"/>
    </row>
    <row r="752">
      <c r="A752" s="11"/>
      <c r="B752" s="17"/>
      <c r="D752" s="17"/>
      <c r="I752" s="17"/>
      <c r="J752" s="20"/>
    </row>
    <row r="753">
      <c r="A753" s="11"/>
      <c r="B753" s="17"/>
      <c r="D753" s="17"/>
      <c r="I753" s="17"/>
      <c r="J753" s="20"/>
    </row>
    <row r="754">
      <c r="A754" s="11"/>
      <c r="B754" s="17"/>
      <c r="D754" s="17"/>
      <c r="I754" s="17"/>
      <c r="J754" s="20"/>
    </row>
    <row r="755">
      <c r="A755" s="11"/>
      <c r="B755" s="17"/>
      <c r="D755" s="17"/>
      <c r="I755" s="17"/>
      <c r="J755" s="20"/>
    </row>
    <row r="756">
      <c r="A756" s="11"/>
      <c r="B756" s="17"/>
      <c r="D756" s="17"/>
      <c r="I756" s="17"/>
      <c r="J756" s="20"/>
    </row>
    <row r="757">
      <c r="A757" s="11"/>
      <c r="B757" s="17"/>
      <c r="D757" s="17"/>
      <c r="I757" s="17"/>
      <c r="J757" s="20"/>
    </row>
    <row r="758">
      <c r="A758" s="11"/>
      <c r="B758" s="17"/>
      <c r="D758" s="17"/>
      <c r="I758" s="17"/>
      <c r="J758" s="20"/>
    </row>
    <row r="759">
      <c r="A759" s="11"/>
      <c r="B759" s="17"/>
      <c r="D759" s="17"/>
      <c r="I759" s="17"/>
      <c r="J759" s="20"/>
    </row>
    <row r="760">
      <c r="A760" s="11"/>
      <c r="B760" s="17"/>
      <c r="D760" s="17"/>
      <c r="I760" s="17"/>
      <c r="J760" s="20"/>
    </row>
    <row r="761">
      <c r="A761" s="11"/>
      <c r="B761" s="17"/>
      <c r="D761" s="17"/>
      <c r="I761" s="17"/>
      <c r="J761" s="20"/>
    </row>
    <row r="762">
      <c r="A762" s="11"/>
      <c r="B762" s="17"/>
      <c r="D762" s="17"/>
      <c r="I762" s="17"/>
      <c r="J762" s="20"/>
    </row>
    <row r="763">
      <c r="A763" s="11"/>
      <c r="B763" s="17"/>
      <c r="D763" s="17"/>
      <c r="I763" s="17"/>
      <c r="J763" s="20"/>
    </row>
    <row r="764">
      <c r="A764" s="11"/>
      <c r="B764" s="17"/>
      <c r="D764" s="17"/>
      <c r="I764" s="17"/>
      <c r="J764" s="20"/>
    </row>
    <row r="765">
      <c r="A765" s="11"/>
      <c r="B765" s="17"/>
      <c r="D765" s="17"/>
      <c r="I765" s="17"/>
      <c r="J765" s="20"/>
    </row>
    <row r="766">
      <c r="A766" s="11"/>
      <c r="B766" s="17"/>
      <c r="D766" s="17"/>
      <c r="I766" s="17"/>
      <c r="J766" s="20"/>
    </row>
    <row r="767">
      <c r="A767" s="11"/>
      <c r="B767" s="17"/>
      <c r="D767" s="17"/>
      <c r="I767" s="17"/>
      <c r="J767" s="20"/>
    </row>
    <row r="768">
      <c r="A768" s="11"/>
      <c r="B768" s="17"/>
      <c r="D768" s="17"/>
      <c r="I768" s="17"/>
      <c r="J768" s="20"/>
    </row>
    <row r="769">
      <c r="A769" s="11"/>
      <c r="B769" s="17"/>
      <c r="D769" s="17"/>
      <c r="I769" s="17"/>
      <c r="J769" s="20"/>
    </row>
    <row r="770">
      <c r="A770" s="11"/>
      <c r="B770" s="17"/>
      <c r="D770" s="17"/>
      <c r="I770" s="17"/>
      <c r="J770" s="20"/>
    </row>
    <row r="771">
      <c r="A771" s="11"/>
      <c r="B771" s="17"/>
      <c r="D771" s="17"/>
      <c r="I771" s="17"/>
      <c r="J771" s="20"/>
    </row>
    <row r="772">
      <c r="A772" s="11"/>
      <c r="B772" s="17"/>
      <c r="D772" s="17"/>
      <c r="I772" s="17"/>
      <c r="J772" s="20"/>
    </row>
    <row r="773">
      <c r="A773" s="11"/>
      <c r="B773" s="17"/>
      <c r="D773" s="17"/>
      <c r="I773" s="17"/>
      <c r="J773" s="20"/>
    </row>
    <row r="774">
      <c r="A774" s="11"/>
      <c r="B774" s="17"/>
      <c r="D774" s="17"/>
      <c r="I774" s="17"/>
      <c r="J774" s="20"/>
    </row>
    <row r="775">
      <c r="A775" s="11"/>
      <c r="B775" s="17"/>
      <c r="D775" s="17"/>
      <c r="I775" s="17"/>
      <c r="J775" s="20"/>
    </row>
    <row r="776">
      <c r="A776" s="11"/>
      <c r="B776" s="17"/>
      <c r="D776" s="17"/>
      <c r="I776" s="17"/>
      <c r="J776" s="20"/>
    </row>
    <row r="777">
      <c r="A777" s="11"/>
      <c r="B777" s="17"/>
      <c r="D777" s="17"/>
      <c r="I777" s="17"/>
      <c r="J777" s="20"/>
    </row>
    <row r="778">
      <c r="A778" s="11"/>
      <c r="B778" s="17"/>
      <c r="D778" s="17"/>
      <c r="I778" s="17"/>
      <c r="J778" s="20"/>
    </row>
    <row r="779">
      <c r="A779" s="11"/>
      <c r="B779" s="17"/>
      <c r="D779" s="17"/>
      <c r="I779" s="17"/>
      <c r="J779" s="20"/>
    </row>
    <row r="780">
      <c r="A780" s="11"/>
      <c r="B780" s="17"/>
      <c r="D780" s="17"/>
      <c r="I780" s="17"/>
      <c r="J780" s="20"/>
    </row>
    <row r="781">
      <c r="A781" s="11"/>
      <c r="B781" s="17"/>
      <c r="D781" s="17"/>
      <c r="I781" s="17"/>
      <c r="J781" s="20"/>
    </row>
    <row r="782">
      <c r="A782" s="11"/>
      <c r="B782" s="17"/>
      <c r="D782" s="17"/>
      <c r="I782" s="17"/>
      <c r="J782" s="20"/>
    </row>
    <row r="783">
      <c r="A783" s="11"/>
      <c r="B783" s="17"/>
      <c r="D783" s="17"/>
      <c r="I783" s="17"/>
      <c r="J783" s="20"/>
    </row>
    <row r="784">
      <c r="A784" s="11"/>
      <c r="B784" s="17"/>
      <c r="D784" s="17"/>
      <c r="I784" s="17"/>
      <c r="J784" s="20"/>
    </row>
    <row r="785">
      <c r="A785" s="11"/>
      <c r="B785" s="17"/>
      <c r="D785" s="17"/>
      <c r="I785" s="17"/>
      <c r="J785" s="20"/>
    </row>
    <row r="786">
      <c r="A786" s="11"/>
      <c r="B786" s="17"/>
      <c r="D786" s="17"/>
      <c r="I786" s="17"/>
      <c r="J786" s="20"/>
    </row>
    <row r="787">
      <c r="A787" s="11"/>
      <c r="B787" s="17"/>
      <c r="D787" s="17"/>
      <c r="I787" s="17"/>
      <c r="J787" s="20"/>
    </row>
    <row r="788">
      <c r="A788" s="11"/>
      <c r="B788" s="17"/>
      <c r="D788" s="17"/>
      <c r="I788" s="17"/>
      <c r="J788" s="20"/>
    </row>
    <row r="789">
      <c r="A789" s="11"/>
      <c r="B789" s="17"/>
      <c r="D789" s="17"/>
      <c r="I789" s="17"/>
      <c r="J789" s="20"/>
    </row>
    <row r="790">
      <c r="A790" s="11"/>
      <c r="B790" s="17"/>
      <c r="D790" s="17"/>
      <c r="I790" s="17"/>
      <c r="J790" s="20"/>
    </row>
    <row r="791">
      <c r="A791" s="11"/>
      <c r="B791" s="17"/>
      <c r="D791" s="17"/>
      <c r="I791" s="17"/>
      <c r="J791" s="20"/>
    </row>
    <row r="792">
      <c r="A792" s="11"/>
      <c r="B792" s="17"/>
      <c r="D792" s="17"/>
      <c r="I792" s="17"/>
      <c r="J792" s="20"/>
    </row>
    <row r="793">
      <c r="A793" s="11"/>
      <c r="B793" s="17"/>
      <c r="D793" s="17"/>
      <c r="I793" s="17"/>
      <c r="J793" s="20"/>
    </row>
    <row r="794">
      <c r="A794" s="11"/>
      <c r="B794" s="17"/>
      <c r="D794" s="17"/>
      <c r="I794" s="17"/>
      <c r="J794" s="20"/>
    </row>
    <row r="795">
      <c r="A795" s="11"/>
      <c r="B795" s="17"/>
      <c r="D795" s="17"/>
      <c r="I795" s="17"/>
      <c r="J795" s="20"/>
    </row>
    <row r="796">
      <c r="A796" s="11"/>
      <c r="B796" s="17"/>
      <c r="D796" s="17"/>
      <c r="I796" s="17"/>
      <c r="J796" s="20"/>
    </row>
    <row r="797">
      <c r="A797" s="11"/>
      <c r="B797" s="17"/>
      <c r="D797" s="17"/>
      <c r="I797" s="17"/>
      <c r="J797" s="20"/>
    </row>
    <row r="798">
      <c r="A798" s="11"/>
      <c r="B798" s="17"/>
      <c r="D798" s="17"/>
      <c r="I798" s="17"/>
      <c r="J798" s="20"/>
    </row>
    <row r="799">
      <c r="A799" s="11"/>
      <c r="B799" s="17"/>
      <c r="D799" s="17"/>
      <c r="I799" s="17"/>
      <c r="J799" s="20"/>
    </row>
    <row r="800">
      <c r="A800" s="11"/>
      <c r="B800" s="17"/>
      <c r="D800" s="17"/>
      <c r="I800" s="17"/>
      <c r="J800" s="20"/>
    </row>
    <row r="801">
      <c r="A801" s="11"/>
      <c r="B801" s="17"/>
      <c r="D801" s="17"/>
      <c r="I801" s="17"/>
      <c r="J801" s="20"/>
    </row>
    <row r="802">
      <c r="A802" s="11"/>
      <c r="B802" s="17"/>
      <c r="D802" s="17"/>
      <c r="I802" s="17"/>
      <c r="J802" s="20"/>
    </row>
    <row r="803">
      <c r="A803" s="11"/>
      <c r="B803" s="17"/>
      <c r="D803" s="17"/>
      <c r="I803" s="17"/>
      <c r="J803" s="20"/>
    </row>
    <row r="804">
      <c r="A804" s="11"/>
      <c r="B804" s="17"/>
      <c r="D804" s="17"/>
      <c r="I804" s="17"/>
      <c r="J804" s="20"/>
    </row>
    <row r="805">
      <c r="A805" s="11"/>
      <c r="B805" s="17"/>
      <c r="D805" s="17"/>
      <c r="I805" s="17"/>
      <c r="J805" s="20"/>
    </row>
    <row r="806">
      <c r="A806" s="11"/>
      <c r="B806" s="17"/>
      <c r="D806" s="17"/>
      <c r="I806" s="17"/>
      <c r="J806" s="20"/>
    </row>
    <row r="807">
      <c r="A807" s="11"/>
      <c r="B807" s="17"/>
      <c r="D807" s="17"/>
      <c r="I807" s="17"/>
      <c r="J807" s="20"/>
    </row>
    <row r="808">
      <c r="A808" s="11"/>
      <c r="B808" s="17"/>
      <c r="D808" s="17"/>
      <c r="I808" s="17"/>
      <c r="J808" s="20"/>
    </row>
    <row r="809">
      <c r="A809" s="11"/>
      <c r="B809" s="17"/>
      <c r="D809" s="17"/>
      <c r="I809" s="17"/>
      <c r="J809" s="20"/>
    </row>
    <row r="810">
      <c r="A810" s="11"/>
      <c r="B810" s="17"/>
      <c r="D810" s="17"/>
      <c r="I810" s="17"/>
      <c r="J810" s="20"/>
    </row>
    <row r="811">
      <c r="A811" s="11"/>
      <c r="B811" s="17"/>
      <c r="D811" s="17"/>
      <c r="I811" s="17"/>
      <c r="J811" s="20"/>
    </row>
    <row r="812">
      <c r="A812" s="11"/>
      <c r="B812" s="17"/>
      <c r="D812" s="17"/>
      <c r="I812" s="17"/>
      <c r="J812" s="20"/>
    </row>
    <row r="813">
      <c r="A813" s="11"/>
      <c r="B813" s="17"/>
      <c r="D813" s="17"/>
      <c r="I813" s="17"/>
      <c r="J813" s="20"/>
    </row>
    <row r="814">
      <c r="A814" s="11"/>
      <c r="B814" s="17"/>
      <c r="D814" s="17"/>
      <c r="I814" s="17"/>
      <c r="J814" s="20"/>
    </row>
    <row r="815">
      <c r="A815" s="11"/>
      <c r="B815" s="17"/>
      <c r="D815" s="17"/>
      <c r="I815" s="17"/>
      <c r="J815" s="20"/>
    </row>
    <row r="816">
      <c r="A816" s="11"/>
      <c r="B816" s="17"/>
      <c r="D816" s="17"/>
      <c r="I816" s="17"/>
      <c r="J816" s="20"/>
    </row>
    <row r="817">
      <c r="A817" s="11"/>
      <c r="B817" s="17"/>
      <c r="D817" s="17"/>
      <c r="I817" s="17"/>
      <c r="J817" s="20"/>
    </row>
    <row r="818">
      <c r="A818" s="11"/>
      <c r="B818" s="17"/>
      <c r="D818" s="17"/>
      <c r="I818" s="17"/>
      <c r="J818" s="20"/>
    </row>
    <row r="819">
      <c r="A819" s="11"/>
      <c r="B819" s="17"/>
      <c r="D819" s="17"/>
      <c r="I819" s="17"/>
      <c r="J819" s="20"/>
    </row>
    <row r="820">
      <c r="A820" s="11"/>
      <c r="B820" s="17"/>
      <c r="D820" s="17"/>
      <c r="I820" s="17"/>
      <c r="J820" s="20"/>
    </row>
    <row r="821">
      <c r="A821" s="11"/>
      <c r="B821" s="17"/>
      <c r="D821" s="17"/>
      <c r="I821" s="17"/>
      <c r="J821" s="20"/>
    </row>
    <row r="822">
      <c r="A822" s="11"/>
      <c r="B822" s="17"/>
      <c r="D822" s="17"/>
      <c r="I822" s="17"/>
      <c r="J822" s="20"/>
    </row>
    <row r="823">
      <c r="A823" s="11"/>
      <c r="B823" s="17"/>
      <c r="D823" s="17"/>
      <c r="I823" s="17"/>
      <c r="J823" s="20"/>
    </row>
    <row r="824">
      <c r="A824" s="11"/>
      <c r="B824" s="17"/>
      <c r="D824" s="17"/>
      <c r="I824" s="17"/>
      <c r="J824" s="20"/>
    </row>
    <row r="825">
      <c r="A825" s="11"/>
      <c r="B825" s="17"/>
      <c r="D825" s="17"/>
      <c r="I825" s="17"/>
      <c r="J825" s="20"/>
    </row>
    <row r="826">
      <c r="A826" s="11"/>
      <c r="B826" s="17"/>
      <c r="D826" s="17"/>
      <c r="I826" s="17"/>
      <c r="J826" s="20"/>
    </row>
    <row r="827">
      <c r="A827" s="11"/>
      <c r="B827" s="17"/>
      <c r="D827" s="17"/>
      <c r="I827" s="17"/>
      <c r="J827" s="20"/>
    </row>
    <row r="828">
      <c r="A828" s="11"/>
      <c r="B828" s="17"/>
      <c r="D828" s="17"/>
      <c r="I828" s="17"/>
      <c r="J828" s="20"/>
    </row>
    <row r="829">
      <c r="A829" s="11"/>
      <c r="B829" s="17"/>
      <c r="D829" s="17"/>
      <c r="I829" s="17"/>
      <c r="J829" s="20"/>
    </row>
    <row r="830">
      <c r="A830" s="11"/>
      <c r="B830" s="17"/>
      <c r="D830" s="17"/>
      <c r="I830" s="17"/>
      <c r="J830" s="20"/>
    </row>
    <row r="831">
      <c r="A831" s="11"/>
      <c r="B831" s="17"/>
      <c r="D831" s="17"/>
      <c r="I831" s="17"/>
      <c r="J831" s="20"/>
    </row>
    <row r="832">
      <c r="A832" s="11"/>
      <c r="B832" s="17"/>
      <c r="D832" s="17"/>
      <c r="I832" s="17"/>
      <c r="J832" s="20"/>
    </row>
    <row r="833">
      <c r="A833" s="11"/>
      <c r="B833" s="17"/>
      <c r="D833" s="17"/>
      <c r="I833" s="17"/>
      <c r="J833" s="20"/>
    </row>
    <row r="834">
      <c r="A834" s="11"/>
      <c r="B834" s="17"/>
      <c r="D834" s="17"/>
      <c r="I834" s="17"/>
      <c r="J834" s="20"/>
    </row>
    <row r="835">
      <c r="A835" s="11"/>
      <c r="B835" s="17"/>
      <c r="D835" s="17"/>
      <c r="I835" s="17"/>
      <c r="J835" s="20"/>
    </row>
    <row r="836">
      <c r="A836" s="11"/>
      <c r="B836" s="17"/>
      <c r="D836" s="17"/>
      <c r="I836" s="17"/>
      <c r="J836" s="20"/>
    </row>
    <row r="837">
      <c r="A837" s="11"/>
      <c r="B837" s="17"/>
      <c r="D837" s="17"/>
      <c r="I837" s="17"/>
      <c r="J837" s="20"/>
    </row>
    <row r="838">
      <c r="A838" s="11"/>
      <c r="B838" s="17"/>
      <c r="D838" s="17"/>
      <c r="I838" s="17"/>
      <c r="J838" s="20"/>
    </row>
    <row r="839">
      <c r="A839" s="11"/>
      <c r="B839" s="17"/>
      <c r="D839" s="17"/>
      <c r="I839" s="17"/>
      <c r="J839" s="20"/>
    </row>
    <row r="840">
      <c r="A840" s="11"/>
      <c r="B840" s="17"/>
      <c r="D840" s="17"/>
      <c r="I840" s="17"/>
      <c r="J840" s="20"/>
    </row>
    <row r="841">
      <c r="A841" s="11"/>
      <c r="B841" s="17"/>
      <c r="D841" s="17"/>
      <c r="I841" s="17"/>
      <c r="J841" s="20"/>
    </row>
    <row r="842">
      <c r="A842" s="11"/>
      <c r="B842" s="17"/>
      <c r="D842" s="17"/>
      <c r="I842" s="17"/>
      <c r="J842" s="20"/>
    </row>
    <row r="843">
      <c r="A843" s="11"/>
      <c r="B843" s="17"/>
      <c r="D843" s="17"/>
      <c r="I843" s="17"/>
      <c r="J843" s="20"/>
    </row>
    <row r="844">
      <c r="A844" s="11"/>
      <c r="B844" s="17"/>
      <c r="D844" s="17"/>
      <c r="I844" s="17"/>
      <c r="J844" s="20"/>
    </row>
    <row r="845">
      <c r="A845" s="11"/>
      <c r="B845" s="17"/>
      <c r="D845" s="17"/>
      <c r="I845" s="17"/>
      <c r="J845" s="20"/>
    </row>
    <row r="846">
      <c r="A846" s="11"/>
      <c r="B846" s="17"/>
      <c r="D846" s="17"/>
      <c r="I846" s="17"/>
      <c r="J846" s="20"/>
    </row>
    <row r="847">
      <c r="A847" s="11"/>
      <c r="B847" s="17"/>
      <c r="D847" s="17"/>
      <c r="I847" s="17"/>
      <c r="J847" s="20"/>
    </row>
    <row r="848">
      <c r="A848" s="11"/>
      <c r="B848" s="17"/>
      <c r="D848" s="17"/>
      <c r="I848" s="17"/>
      <c r="J848" s="20"/>
    </row>
    <row r="849">
      <c r="A849" s="11"/>
      <c r="B849" s="17"/>
      <c r="D849" s="17"/>
      <c r="I849" s="17"/>
      <c r="J849" s="20"/>
    </row>
    <row r="850">
      <c r="A850" s="11"/>
      <c r="B850" s="17"/>
      <c r="D850" s="17"/>
      <c r="I850" s="17"/>
      <c r="J850" s="20"/>
    </row>
    <row r="851">
      <c r="A851" s="11"/>
      <c r="B851" s="17"/>
      <c r="D851" s="17"/>
      <c r="I851" s="17"/>
      <c r="J851" s="20"/>
    </row>
    <row r="852">
      <c r="A852" s="11"/>
      <c r="B852" s="17"/>
      <c r="D852" s="17"/>
      <c r="I852" s="17"/>
      <c r="J852" s="20"/>
    </row>
    <row r="853">
      <c r="A853" s="11"/>
      <c r="B853" s="17"/>
      <c r="D853" s="17"/>
      <c r="I853" s="17"/>
      <c r="J853" s="20"/>
    </row>
    <row r="854">
      <c r="A854" s="11"/>
      <c r="B854" s="17"/>
      <c r="D854" s="17"/>
      <c r="I854" s="17"/>
      <c r="J854" s="20"/>
    </row>
    <row r="855">
      <c r="A855" s="11"/>
      <c r="B855" s="17"/>
      <c r="D855" s="17"/>
      <c r="I855" s="17"/>
      <c r="J855" s="20"/>
    </row>
    <row r="856">
      <c r="A856" s="11"/>
      <c r="B856" s="17"/>
      <c r="D856" s="17"/>
      <c r="I856" s="17"/>
      <c r="J856" s="20"/>
    </row>
    <row r="857">
      <c r="A857" s="11"/>
      <c r="B857" s="17"/>
      <c r="D857" s="17"/>
      <c r="I857" s="17"/>
      <c r="J857" s="20"/>
    </row>
    <row r="858">
      <c r="A858" s="11"/>
      <c r="B858" s="17"/>
      <c r="D858" s="17"/>
      <c r="I858" s="17"/>
      <c r="J858" s="20"/>
    </row>
    <row r="859">
      <c r="A859" s="11"/>
      <c r="B859" s="17"/>
      <c r="D859" s="17"/>
      <c r="I859" s="17"/>
      <c r="J859" s="20"/>
    </row>
    <row r="860">
      <c r="A860" s="11"/>
      <c r="B860" s="17"/>
      <c r="D860" s="17"/>
      <c r="I860" s="17"/>
      <c r="J860" s="20"/>
    </row>
    <row r="861">
      <c r="A861" s="11"/>
      <c r="B861" s="17"/>
      <c r="D861" s="17"/>
      <c r="I861" s="17"/>
      <c r="J861" s="20"/>
    </row>
    <row r="862">
      <c r="A862" s="11"/>
      <c r="B862" s="17"/>
      <c r="D862" s="17"/>
      <c r="I862" s="17"/>
      <c r="J862" s="20"/>
    </row>
    <row r="863">
      <c r="A863" s="11"/>
      <c r="B863" s="17"/>
      <c r="D863" s="17"/>
      <c r="I863" s="17"/>
      <c r="J863" s="20"/>
    </row>
    <row r="864">
      <c r="A864" s="11"/>
      <c r="B864" s="17"/>
      <c r="D864" s="17"/>
      <c r="I864" s="17"/>
      <c r="J864" s="20"/>
    </row>
    <row r="865">
      <c r="A865" s="11"/>
      <c r="B865" s="17"/>
      <c r="D865" s="17"/>
      <c r="I865" s="17"/>
      <c r="J865" s="20"/>
    </row>
    <row r="866">
      <c r="A866" s="11"/>
      <c r="B866" s="17"/>
      <c r="D866" s="17"/>
      <c r="I866" s="17"/>
      <c r="J866" s="20"/>
    </row>
    <row r="867">
      <c r="A867" s="11"/>
      <c r="B867" s="17"/>
      <c r="D867" s="17"/>
      <c r="I867" s="17"/>
      <c r="J867" s="20"/>
    </row>
    <row r="868">
      <c r="A868" s="11"/>
      <c r="B868" s="17"/>
      <c r="D868" s="17"/>
      <c r="I868" s="17"/>
      <c r="J868" s="20"/>
    </row>
    <row r="869">
      <c r="A869" s="11"/>
      <c r="B869" s="17"/>
      <c r="D869" s="17"/>
      <c r="I869" s="17"/>
      <c r="J869" s="20"/>
    </row>
    <row r="870">
      <c r="A870" s="11"/>
      <c r="B870" s="17"/>
      <c r="D870" s="17"/>
      <c r="I870" s="17"/>
      <c r="J870" s="20"/>
    </row>
    <row r="871">
      <c r="A871" s="11"/>
      <c r="B871" s="17"/>
      <c r="D871" s="17"/>
      <c r="I871" s="17"/>
      <c r="J871" s="20"/>
    </row>
    <row r="872">
      <c r="A872" s="11"/>
      <c r="B872" s="17"/>
      <c r="D872" s="17"/>
      <c r="I872" s="17"/>
      <c r="J872" s="20"/>
    </row>
    <row r="873">
      <c r="A873" s="11"/>
      <c r="B873" s="17"/>
      <c r="D873" s="17"/>
      <c r="I873" s="17"/>
      <c r="J873" s="20"/>
    </row>
    <row r="874">
      <c r="A874" s="11"/>
      <c r="B874" s="17"/>
      <c r="D874" s="17"/>
      <c r="I874" s="17"/>
      <c r="J874" s="20"/>
    </row>
    <row r="875">
      <c r="A875" s="11"/>
      <c r="B875" s="17"/>
      <c r="D875" s="17"/>
      <c r="I875" s="17"/>
      <c r="J875" s="20"/>
    </row>
    <row r="876">
      <c r="A876" s="11"/>
      <c r="B876" s="17"/>
      <c r="D876" s="17"/>
      <c r="I876" s="17"/>
      <c r="J876" s="20"/>
    </row>
    <row r="877">
      <c r="A877" s="11"/>
      <c r="B877" s="17"/>
      <c r="D877" s="17"/>
      <c r="I877" s="17"/>
      <c r="J877" s="20"/>
    </row>
    <row r="878">
      <c r="A878" s="11"/>
      <c r="B878" s="17"/>
      <c r="D878" s="17"/>
      <c r="I878" s="17"/>
      <c r="J878" s="20"/>
    </row>
    <row r="879">
      <c r="A879" s="11"/>
      <c r="B879" s="17"/>
      <c r="D879" s="17"/>
      <c r="I879" s="17"/>
      <c r="J879" s="20"/>
    </row>
    <row r="880">
      <c r="A880" s="11"/>
      <c r="B880" s="17"/>
      <c r="D880" s="17"/>
      <c r="I880" s="17"/>
      <c r="J880" s="20"/>
    </row>
    <row r="881">
      <c r="A881" s="11"/>
      <c r="B881" s="17"/>
      <c r="D881" s="17"/>
      <c r="I881" s="17"/>
      <c r="J881" s="20"/>
    </row>
    <row r="882">
      <c r="A882" s="11"/>
      <c r="B882" s="17"/>
      <c r="D882" s="17"/>
      <c r="I882" s="17"/>
      <c r="J882" s="20"/>
    </row>
    <row r="883">
      <c r="A883" s="11"/>
      <c r="B883" s="17"/>
      <c r="D883" s="17"/>
      <c r="I883" s="17"/>
      <c r="J883" s="20"/>
    </row>
    <row r="884">
      <c r="A884" s="11"/>
      <c r="B884" s="17"/>
      <c r="D884" s="17"/>
      <c r="I884" s="17"/>
      <c r="J884" s="20"/>
    </row>
    <row r="885">
      <c r="A885" s="11"/>
      <c r="B885" s="17"/>
      <c r="D885" s="17"/>
      <c r="I885" s="17"/>
      <c r="J885" s="20"/>
    </row>
    <row r="886">
      <c r="A886" s="11"/>
      <c r="B886" s="17"/>
      <c r="D886" s="17"/>
      <c r="I886" s="17"/>
      <c r="J886" s="20"/>
    </row>
    <row r="887">
      <c r="A887" s="11"/>
      <c r="B887" s="17"/>
      <c r="D887" s="17"/>
      <c r="I887" s="17"/>
      <c r="J887" s="20"/>
    </row>
    <row r="888">
      <c r="A888" s="11"/>
      <c r="B888" s="17"/>
      <c r="D888" s="17"/>
      <c r="I888" s="17"/>
      <c r="J888" s="20"/>
    </row>
    <row r="889">
      <c r="A889" s="11"/>
      <c r="B889" s="17"/>
      <c r="D889" s="17"/>
      <c r="I889" s="17"/>
      <c r="J889" s="20"/>
    </row>
    <row r="890">
      <c r="A890" s="11"/>
      <c r="B890" s="17"/>
      <c r="D890" s="17"/>
      <c r="I890" s="17"/>
      <c r="J890" s="20"/>
    </row>
    <row r="891">
      <c r="A891" s="11"/>
      <c r="B891" s="17"/>
      <c r="D891" s="17"/>
      <c r="I891" s="17"/>
      <c r="J891" s="20"/>
    </row>
    <row r="892">
      <c r="A892" s="11"/>
      <c r="B892" s="17"/>
      <c r="D892" s="17"/>
      <c r="I892" s="17"/>
      <c r="J892" s="20"/>
    </row>
    <row r="893">
      <c r="A893" s="11"/>
      <c r="B893" s="17"/>
      <c r="D893" s="17"/>
      <c r="I893" s="17"/>
      <c r="J893" s="20"/>
    </row>
    <row r="894">
      <c r="A894" s="11"/>
      <c r="B894" s="17"/>
      <c r="D894" s="17"/>
      <c r="I894" s="17"/>
      <c r="J894" s="20"/>
    </row>
    <row r="895">
      <c r="A895" s="11"/>
      <c r="B895" s="17"/>
      <c r="D895" s="17"/>
      <c r="I895" s="17"/>
      <c r="J895" s="20"/>
    </row>
    <row r="896">
      <c r="A896" s="11"/>
      <c r="B896" s="17"/>
      <c r="D896" s="17"/>
      <c r="I896" s="17"/>
      <c r="J896" s="20"/>
    </row>
    <row r="897">
      <c r="A897" s="11"/>
      <c r="B897" s="17"/>
      <c r="D897" s="17"/>
      <c r="I897" s="17"/>
      <c r="J897" s="20"/>
    </row>
    <row r="898">
      <c r="A898" s="11"/>
      <c r="B898" s="17"/>
      <c r="D898" s="17"/>
      <c r="I898" s="17"/>
      <c r="J898" s="20"/>
    </row>
    <row r="899">
      <c r="A899" s="11"/>
      <c r="B899" s="17"/>
      <c r="D899" s="17"/>
      <c r="I899" s="17"/>
      <c r="J899" s="20"/>
    </row>
    <row r="900">
      <c r="A900" s="11"/>
      <c r="B900" s="17"/>
      <c r="D900" s="17"/>
      <c r="I900" s="17"/>
      <c r="J900" s="20"/>
    </row>
    <row r="901">
      <c r="A901" s="11"/>
      <c r="B901" s="17"/>
      <c r="D901" s="17"/>
      <c r="I901" s="17"/>
      <c r="J901" s="20"/>
    </row>
    <row r="902">
      <c r="A902" s="11"/>
      <c r="B902" s="17"/>
      <c r="D902" s="17"/>
      <c r="I902" s="17"/>
      <c r="J902" s="20"/>
    </row>
    <row r="903">
      <c r="A903" s="11"/>
      <c r="B903" s="17"/>
      <c r="D903" s="17"/>
      <c r="I903" s="17"/>
      <c r="J903" s="20"/>
    </row>
    <row r="904">
      <c r="A904" s="11"/>
      <c r="B904" s="17"/>
      <c r="D904" s="17"/>
      <c r="I904" s="17"/>
      <c r="J904" s="20"/>
    </row>
    <row r="905">
      <c r="A905" s="11"/>
      <c r="B905" s="17"/>
      <c r="D905" s="17"/>
      <c r="I905" s="17"/>
      <c r="J905" s="20"/>
    </row>
    <row r="906">
      <c r="A906" s="11"/>
      <c r="B906" s="17"/>
      <c r="D906" s="17"/>
      <c r="I906" s="17"/>
      <c r="J906" s="20"/>
    </row>
    <row r="907">
      <c r="A907" s="11"/>
      <c r="B907" s="17"/>
      <c r="D907" s="17"/>
      <c r="I907" s="17"/>
      <c r="J907" s="20"/>
    </row>
    <row r="908">
      <c r="A908" s="11"/>
      <c r="B908" s="17"/>
      <c r="D908" s="17"/>
      <c r="I908" s="17"/>
      <c r="J908" s="20"/>
    </row>
    <row r="909">
      <c r="A909" s="11"/>
      <c r="B909" s="17"/>
      <c r="D909" s="17"/>
      <c r="I909" s="17"/>
      <c r="J909" s="20"/>
    </row>
    <row r="910">
      <c r="A910" s="11"/>
      <c r="B910" s="17"/>
      <c r="D910" s="17"/>
      <c r="I910" s="17"/>
      <c r="J910" s="20"/>
    </row>
    <row r="911">
      <c r="A911" s="11"/>
      <c r="B911" s="17"/>
      <c r="D911" s="17"/>
      <c r="I911" s="17"/>
      <c r="J911" s="20"/>
    </row>
    <row r="912">
      <c r="A912" s="11"/>
      <c r="B912" s="17"/>
      <c r="D912" s="17"/>
      <c r="I912" s="17"/>
      <c r="J912" s="20"/>
    </row>
    <row r="913">
      <c r="A913" s="11"/>
      <c r="B913" s="17"/>
      <c r="D913" s="17"/>
      <c r="I913" s="17"/>
      <c r="J913" s="20"/>
    </row>
    <row r="914">
      <c r="A914" s="11"/>
      <c r="B914" s="17"/>
      <c r="D914" s="17"/>
      <c r="I914" s="17"/>
      <c r="J914" s="20"/>
    </row>
    <row r="915">
      <c r="A915" s="11"/>
      <c r="B915" s="17"/>
      <c r="D915" s="17"/>
      <c r="I915" s="17"/>
      <c r="J915" s="20"/>
    </row>
    <row r="916">
      <c r="A916" s="11"/>
      <c r="B916" s="17"/>
      <c r="D916" s="17"/>
      <c r="I916" s="17"/>
      <c r="J916" s="20"/>
    </row>
    <row r="917">
      <c r="A917" s="11"/>
      <c r="B917" s="17"/>
      <c r="D917" s="17"/>
      <c r="I917" s="17"/>
      <c r="J917" s="20"/>
    </row>
    <row r="918">
      <c r="A918" s="11"/>
      <c r="B918" s="17"/>
      <c r="D918" s="17"/>
      <c r="I918" s="17"/>
      <c r="J918" s="20"/>
    </row>
    <row r="919">
      <c r="A919" s="11"/>
      <c r="B919" s="17"/>
      <c r="D919" s="17"/>
      <c r="I919" s="17"/>
      <c r="J919" s="20"/>
    </row>
    <row r="920">
      <c r="A920" s="11"/>
      <c r="B920" s="17"/>
      <c r="D920" s="17"/>
      <c r="I920" s="17"/>
      <c r="J920" s="20"/>
    </row>
    <row r="921">
      <c r="A921" s="11"/>
      <c r="B921" s="17"/>
      <c r="D921" s="17"/>
      <c r="I921" s="17"/>
      <c r="J921" s="20"/>
    </row>
    <row r="922">
      <c r="A922" s="11"/>
      <c r="B922" s="17"/>
      <c r="D922" s="17"/>
      <c r="I922" s="17"/>
      <c r="J922" s="20"/>
    </row>
    <row r="923">
      <c r="A923" s="11"/>
      <c r="B923" s="17"/>
      <c r="D923" s="17"/>
      <c r="I923" s="17"/>
      <c r="J923" s="20"/>
    </row>
    <row r="924">
      <c r="A924" s="11"/>
      <c r="B924" s="17"/>
      <c r="D924" s="17"/>
      <c r="I924" s="17"/>
      <c r="J924" s="20"/>
    </row>
    <row r="925">
      <c r="A925" s="11"/>
      <c r="B925" s="17"/>
      <c r="D925" s="17"/>
      <c r="I925" s="17"/>
      <c r="J925" s="20"/>
    </row>
    <row r="926">
      <c r="A926" s="11"/>
      <c r="B926" s="17"/>
      <c r="D926" s="17"/>
      <c r="I926" s="17"/>
      <c r="J926" s="20"/>
    </row>
    <row r="927">
      <c r="A927" s="11"/>
      <c r="B927" s="17"/>
      <c r="D927" s="17"/>
      <c r="I927" s="17"/>
      <c r="J927" s="20"/>
    </row>
    <row r="928">
      <c r="A928" s="11"/>
      <c r="B928" s="17"/>
      <c r="D928" s="17"/>
      <c r="I928" s="17"/>
      <c r="J928" s="20"/>
    </row>
    <row r="929">
      <c r="A929" s="11"/>
      <c r="B929" s="17"/>
      <c r="D929" s="17"/>
      <c r="I929" s="17"/>
      <c r="J929" s="20"/>
    </row>
    <row r="930">
      <c r="A930" s="11"/>
      <c r="B930" s="17"/>
      <c r="D930" s="17"/>
      <c r="I930" s="17"/>
      <c r="J930" s="20"/>
    </row>
    <row r="931">
      <c r="A931" s="11"/>
      <c r="B931" s="17"/>
      <c r="D931" s="17"/>
      <c r="I931" s="17"/>
      <c r="J931" s="20"/>
    </row>
    <row r="932">
      <c r="A932" s="11"/>
      <c r="B932" s="17"/>
      <c r="D932" s="17"/>
      <c r="I932" s="17"/>
      <c r="J932" s="20"/>
    </row>
    <row r="933">
      <c r="A933" s="11"/>
      <c r="B933" s="17"/>
      <c r="D933" s="17"/>
      <c r="I933" s="17"/>
      <c r="J933" s="20"/>
    </row>
    <row r="934">
      <c r="A934" s="11"/>
      <c r="B934" s="17"/>
      <c r="D934" s="17"/>
      <c r="I934" s="17"/>
      <c r="J934" s="20"/>
    </row>
    <row r="935">
      <c r="A935" s="11"/>
      <c r="B935" s="17"/>
      <c r="D935" s="17"/>
      <c r="I935" s="17"/>
      <c r="J935" s="20"/>
    </row>
    <row r="936">
      <c r="A936" s="11"/>
      <c r="B936" s="17"/>
      <c r="D936" s="17"/>
      <c r="I936" s="17"/>
      <c r="J936" s="20"/>
    </row>
    <row r="937">
      <c r="A937" s="11"/>
      <c r="B937" s="17"/>
      <c r="D937" s="17"/>
      <c r="I937" s="17"/>
      <c r="J937" s="20"/>
    </row>
    <row r="938">
      <c r="A938" s="11"/>
      <c r="B938" s="17"/>
      <c r="D938" s="17"/>
      <c r="I938" s="17"/>
      <c r="J938" s="20"/>
    </row>
    <row r="939">
      <c r="A939" s="11"/>
      <c r="B939" s="17"/>
      <c r="D939" s="17"/>
      <c r="I939" s="17"/>
      <c r="J939" s="20"/>
    </row>
    <row r="940">
      <c r="A940" s="11"/>
      <c r="B940" s="17"/>
      <c r="D940" s="17"/>
      <c r="I940" s="17"/>
      <c r="J940" s="20"/>
    </row>
    <row r="941">
      <c r="A941" s="11"/>
      <c r="B941" s="17"/>
      <c r="D941" s="17"/>
      <c r="I941" s="17"/>
      <c r="J941" s="20"/>
    </row>
    <row r="942">
      <c r="A942" s="11"/>
      <c r="B942" s="17"/>
      <c r="D942" s="17"/>
      <c r="I942" s="17"/>
      <c r="J942" s="20"/>
    </row>
    <row r="943">
      <c r="A943" s="11"/>
      <c r="B943" s="17"/>
      <c r="D943" s="17"/>
      <c r="I943" s="17"/>
      <c r="J943" s="20"/>
    </row>
    <row r="944">
      <c r="A944" s="11"/>
      <c r="B944" s="17"/>
      <c r="D944" s="17"/>
      <c r="I944" s="17"/>
      <c r="J944" s="20"/>
    </row>
    <row r="945">
      <c r="A945" s="11"/>
      <c r="B945" s="17"/>
      <c r="D945" s="17"/>
      <c r="I945" s="17"/>
      <c r="J945" s="20"/>
    </row>
    <row r="946">
      <c r="A946" s="11"/>
      <c r="B946" s="17"/>
      <c r="D946" s="17"/>
      <c r="I946" s="17"/>
      <c r="J946" s="20"/>
    </row>
    <row r="947">
      <c r="A947" s="11"/>
      <c r="B947" s="17"/>
      <c r="D947" s="17"/>
      <c r="I947" s="17"/>
      <c r="J947" s="20"/>
    </row>
    <row r="948">
      <c r="A948" s="11"/>
      <c r="B948" s="17"/>
      <c r="D948" s="17"/>
      <c r="I948" s="17"/>
      <c r="J948" s="20"/>
    </row>
    <row r="949">
      <c r="A949" s="11"/>
      <c r="B949" s="17"/>
      <c r="D949" s="17"/>
      <c r="I949" s="17"/>
      <c r="J949" s="20"/>
    </row>
    <row r="950">
      <c r="A950" s="11"/>
      <c r="B950" s="17"/>
      <c r="D950" s="17"/>
      <c r="I950" s="17"/>
      <c r="J950" s="20"/>
    </row>
    <row r="951">
      <c r="A951" s="11"/>
      <c r="B951" s="17"/>
      <c r="D951" s="17"/>
      <c r="I951" s="17"/>
      <c r="J951" s="20"/>
    </row>
    <row r="952">
      <c r="A952" s="11"/>
      <c r="B952" s="17"/>
      <c r="D952" s="17"/>
      <c r="I952" s="17"/>
      <c r="J952" s="20"/>
    </row>
    <row r="953">
      <c r="A953" s="11"/>
      <c r="B953" s="17"/>
      <c r="D953" s="17"/>
      <c r="I953" s="17"/>
      <c r="J953" s="20"/>
    </row>
    <row r="954">
      <c r="A954" s="11"/>
      <c r="B954" s="17"/>
      <c r="D954" s="17"/>
      <c r="I954" s="17"/>
      <c r="J954" s="20"/>
    </row>
    <row r="955">
      <c r="A955" s="11"/>
      <c r="B955" s="17"/>
      <c r="D955" s="17"/>
      <c r="I955" s="17"/>
      <c r="J955" s="20"/>
    </row>
    <row r="956">
      <c r="A956" s="11"/>
      <c r="B956" s="17"/>
      <c r="D956" s="17"/>
      <c r="I956" s="17"/>
      <c r="J956" s="20"/>
    </row>
    <row r="957">
      <c r="A957" s="11"/>
      <c r="B957" s="17"/>
      <c r="D957" s="17"/>
      <c r="I957" s="17"/>
      <c r="J957" s="20"/>
    </row>
    <row r="958">
      <c r="A958" s="11"/>
      <c r="B958" s="17"/>
      <c r="D958" s="17"/>
      <c r="I958" s="17"/>
      <c r="J958" s="20"/>
    </row>
    <row r="959">
      <c r="A959" s="11"/>
      <c r="B959" s="17"/>
      <c r="D959" s="17"/>
      <c r="I959" s="17"/>
      <c r="J959" s="20"/>
    </row>
    <row r="960">
      <c r="A960" s="11"/>
      <c r="B960" s="17"/>
      <c r="D960" s="17"/>
      <c r="I960" s="17"/>
      <c r="J960" s="20"/>
    </row>
    <row r="961">
      <c r="A961" s="11"/>
      <c r="B961" s="17"/>
      <c r="D961" s="17"/>
      <c r="I961" s="17"/>
      <c r="J961" s="20"/>
    </row>
    <row r="962">
      <c r="A962" s="11"/>
      <c r="B962" s="17"/>
      <c r="D962" s="17"/>
      <c r="I962" s="17"/>
      <c r="J962" s="20"/>
    </row>
    <row r="963">
      <c r="A963" s="11"/>
      <c r="B963" s="17"/>
      <c r="D963" s="17"/>
      <c r="I963" s="17"/>
      <c r="J963" s="20"/>
    </row>
    <row r="964">
      <c r="A964" s="11"/>
      <c r="B964" s="17"/>
      <c r="D964" s="17"/>
      <c r="I964" s="17"/>
      <c r="J964" s="20"/>
    </row>
    <row r="965">
      <c r="A965" s="11"/>
      <c r="B965" s="17"/>
      <c r="D965" s="17"/>
      <c r="I965" s="17"/>
      <c r="J965" s="20"/>
    </row>
    <row r="966">
      <c r="A966" s="11"/>
      <c r="B966" s="17"/>
      <c r="D966" s="17"/>
      <c r="I966" s="17"/>
      <c r="J966" s="20"/>
    </row>
    <row r="967">
      <c r="A967" s="11"/>
      <c r="B967" s="17"/>
      <c r="D967" s="17"/>
      <c r="I967" s="17"/>
      <c r="J967" s="20"/>
    </row>
    <row r="968">
      <c r="A968" s="11"/>
      <c r="B968" s="17"/>
      <c r="D968" s="17"/>
      <c r="I968" s="17"/>
      <c r="J968" s="20"/>
    </row>
    <row r="969">
      <c r="A969" s="11"/>
      <c r="B969" s="17"/>
      <c r="D969" s="17"/>
      <c r="I969" s="17"/>
      <c r="J969" s="20"/>
    </row>
    <row r="970">
      <c r="A970" s="11"/>
      <c r="B970" s="17"/>
      <c r="D970" s="17"/>
      <c r="I970" s="17"/>
      <c r="J970" s="20"/>
    </row>
    <row r="971">
      <c r="A971" s="11"/>
      <c r="B971" s="17"/>
      <c r="D971" s="17"/>
      <c r="I971" s="17"/>
      <c r="J971" s="20"/>
    </row>
    <row r="972">
      <c r="A972" s="11"/>
      <c r="B972" s="17"/>
      <c r="D972" s="17"/>
      <c r="I972" s="17"/>
      <c r="J972" s="20"/>
    </row>
    <row r="973">
      <c r="A973" s="11"/>
      <c r="B973" s="17"/>
      <c r="D973" s="17"/>
      <c r="I973" s="17"/>
      <c r="J973" s="20"/>
    </row>
    <row r="974">
      <c r="A974" s="11"/>
      <c r="B974" s="17"/>
      <c r="D974" s="17"/>
      <c r="I974" s="17"/>
      <c r="J974" s="20"/>
    </row>
    <row r="975">
      <c r="A975" s="11"/>
      <c r="B975" s="17"/>
      <c r="D975" s="17"/>
      <c r="I975" s="17"/>
      <c r="J975" s="20"/>
    </row>
    <row r="976">
      <c r="A976" s="11"/>
      <c r="B976" s="17"/>
      <c r="D976" s="17"/>
      <c r="I976" s="17"/>
      <c r="J976" s="20"/>
    </row>
    <row r="977">
      <c r="A977" s="11"/>
      <c r="B977" s="17"/>
      <c r="D977" s="17"/>
      <c r="I977" s="17"/>
      <c r="J977" s="20"/>
    </row>
    <row r="978">
      <c r="A978" s="11"/>
      <c r="B978" s="17"/>
      <c r="D978" s="17"/>
      <c r="I978" s="17"/>
      <c r="J978" s="20"/>
    </row>
    <row r="979">
      <c r="A979" s="11"/>
      <c r="B979" s="17"/>
      <c r="D979" s="17"/>
      <c r="I979" s="17"/>
      <c r="J979" s="20"/>
    </row>
    <row r="980">
      <c r="A980" s="11"/>
      <c r="B980" s="17"/>
      <c r="D980" s="17"/>
      <c r="I980" s="17"/>
      <c r="J980" s="20"/>
    </row>
    <row r="981">
      <c r="A981" s="11"/>
      <c r="B981" s="17"/>
      <c r="D981" s="17"/>
      <c r="I981" s="17"/>
      <c r="J981" s="20"/>
    </row>
    <row r="982">
      <c r="A982" s="11"/>
      <c r="B982" s="17"/>
      <c r="D982" s="17"/>
      <c r="I982" s="17"/>
      <c r="J982" s="20"/>
    </row>
    <row r="983">
      <c r="A983" s="11"/>
      <c r="B983" s="17"/>
      <c r="D983" s="17"/>
      <c r="I983" s="17"/>
      <c r="J983" s="20"/>
    </row>
    <row r="984">
      <c r="A984" s="11"/>
      <c r="B984" s="17"/>
      <c r="D984" s="17"/>
      <c r="I984" s="17"/>
      <c r="J984" s="20"/>
    </row>
    <row r="985">
      <c r="A985" s="11"/>
      <c r="B985" s="17"/>
      <c r="D985" s="17"/>
      <c r="I985" s="17"/>
      <c r="J985" s="20"/>
    </row>
    <row r="986">
      <c r="A986" s="11"/>
      <c r="B986" s="17"/>
      <c r="D986" s="17"/>
      <c r="I986" s="17"/>
      <c r="J986" s="20"/>
    </row>
    <row r="987">
      <c r="A987" s="11"/>
      <c r="B987" s="17"/>
      <c r="D987" s="17"/>
      <c r="I987" s="17"/>
      <c r="J987" s="20"/>
    </row>
    <row r="988">
      <c r="A988" s="11"/>
      <c r="B988" s="17"/>
      <c r="D988" s="17"/>
      <c r="I988" s="17"/>
      <c r="J988" s="20"/>
    </row>
    <row r="989">
      <c r="A989" s="11"/>
      <c r="B989" s="17"/>
      <c r="D989" s="17"/>
      <c r="I989" s="17"/>
      <c r="J989" s="20"/>
    </row>
    <row r="990">
      <c r="A990" s="11"/>
      <c r="B990" s="17"/>
      <c r="D990" s="17"/>
      <c r="I990" s="17"/>
      <c r="J990" s="20"/>
    </row>
    <row r="991">
      <c r="A991" s="11"/>
      <c r="B991" s="17"/>
      <c r="D991" s="17"/>
      <c r="I991" s="17"/>
      <c r="J991" s="20"/>
    </row>
    <row r="992">
      <c r="A992" s="11"/>
      <c r="B992" s="17"/>
      <c r="D992" s="17"/>
      <c r="I992" s="17"/>
      <c r="J992" s="20"/>
    </row>
    <row r="993">
      <c r="A993" s="11"/>
      <c r="B993" s="17"/>
      <c r="D993" s="17"/>
      <c r="I993" s="17"/>
      <c r="J993" s="20"/>
    </row>
    <row r="994">
      <c r="A994" s="11"/>
      <c r="B994" s="17"/>
      <c r="D994" s="17"/>
      <c r="I994" s="17"/>
      <c r="J994" s="20"/>
    </row>
    <row r="995">
      <c r="A995" s="11"/>
      <c r="B995" s="17"/>
      <c r="D995" s="17"/>
      <c r="I995" s="17"/>
      <c r="J995" s="20"/>
    </row>
    <row r="996">
      <c r="A996" s="11"/>
      <c r="B996" s="17"/>
      <c r="D996" s="17"/>
      <c r="I996" s="17"/>
      <c r="J996" s="20"/>
    </row>
    <row r="997">
      <c r="A997" s="11"/>
      <c r="B997" s="17"/>
      <c r="D997" s="17"/>
      <c r="I997" s="17"/>
      <c r="J997" s="20"/>
    </row>
    <row r="998">
      <c r="A998" s="11"/>
      <c r="B998" s="17"/>
      <c r="D998" s="17"/>
      <c r="I998" s="17"/>
      <c r="J998" s="20"/>
    </row>
    <row r="999">
      <c r="A999" s="11"/>
      <c r="B999" s="17"/>
      <c r="D999" s="17"/>
      <c r="I999" s="17"/>
      <c r="J999" s="20"/>
    </row>
    <row r="1000">
      <c r="A1000" s="11"/>
      <c r="B1000" s="17"/>
      <c r="D1000" s="17"/>
      <c r="I1000" s="17"/>
      <c r="J1000" s="20"/>
    </row>
  </sheetData>
  <drawing r:id="rId1"/>
</worksheet>
</file>